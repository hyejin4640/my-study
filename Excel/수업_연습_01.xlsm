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ict1101-05\Desktop\Excel\"/>
    </mc:Choice>
  </mc:AlternateContent>
  <bookViews>
    <workbookView xWindow="0" yWindow="0" windowWidth="28800" windowHeight="12210"/>
  </bookViews>
  <sheets>
    <sheet name="VBA" sheetId="1" r:id="rId1"/>
    <sheet name="VSUB" sheetId="6" r:id="rId2"/>
    <sheet name="Sub_1" sheetId="2" state="hidden" r:id="rId3"/>
    <sheet name="Sub_2" sheetId="3" state="hidden" r:id="rId4"/>
    <sheet name="Sub_3" sheetId="4" state="hidden" r:id="rId5"/>
    <sheet name="Sub_4" sheetId="5" state="hidden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  <c r="F11" i="1"/>
  <c r="B11" i="1"/>
  <c r="J6" i="1"/>
  <c r="F6" i="1"/>
  <c r="B6" i="1"/>
</calcChain>
</file>

<file path=xl/sharedStrings.xml><?xml version="1.0" encoding="utf-8"?>
<sst xmlns="http://schemas.openxmlformats.org/spreadsheetml/2006/main" count="490" uniqueCount="309">
  <si>
    <t>성명</t>
    <phoneticPr fontId="1" type="noConversion"/>
  </si>
  <si>
    <t>생년월일</t>
    <phoneticPr fontId="1" type="noConversion"/>
  </si>
  <si>
    <t>주소</t>
    <phoneticPr fontId="1" type="noConversion"/>
  </si>
  <si>
    <t>전화번호</t>
    <phoneticPr fontId="1" type="noConversion"/>
  </si>
  <si>
    <t>현상태</t>
    <phoneticPr fontId="1" type="noConversion"/>
  </si>
  <si>
    <t>병역</t>
    <phoneticPr fontId="1" type="noConversion"/>
  </si>
  <si>
    <t>E-mail</t>
    <phoneticPr fontId="1" type="noConversion"/>
  </si>
  <si>
    <t>모</t>
    <phoneticPr fontId="1" type="noConversion"/>
  </si>
  <si>
    <t>빅데이터 환경분석</t>
    <phoneticPr fontId="1" type="noConversion"/>
  </si>
  <si>
    <t>빅데이터 기술 플랫폼기획</t>
    <phoneticPr fontId="1" type="noConversion"/>
  </si>
  <si>
    <t>사물인터넷(IoT)기획실습</t>
    <phoneticPr fontId="1" type="noConversion"/>
  </si>
  <si>
    <t>결과</t>
    <phoneticPr fontId="1" type="noConversion"/>
  </si>
  <si>
    <t>구분</t>
    <phoneticPr fontId="1" type="noConversion"/>
  </si>
  <si>
    <t>기타</t>
    <phoneticPr fontId="1" type="noConversion"/>
  </si>
  <si>
    <t>성명</t>
    <phoneticPr fontId="1" type="noConversion"/>
  </si>
  <si>
    <t>통학여부</t>
    <phoneticPr fontId="1" type="noConversion"/>
  </si>
  <si>
    <t>성명</t>
    <phoneticPr fontId="1" type="noConversion"/>
  </si>
  <si>
    <t>나이</t>
    <phoneticPr fontId="1" type="noConversion"/>
  </si>
  <si>
    <t>주소</t>
    <phoneticPr fontId="1" type="noConversion"/>
  </si>
  <si>
    <t>최종학력</t>
    <phoneticPr fontId="1" type="noConversion"/>
  </si>
  <si>
    <t>가족관계</t>
    <phoneticPr fontId="1" type="noConversion"/>
  </si>
  <si>
    <t>배우자</t>
    <phoneticPr fontId="1" type="noConversion"/>
  </si>
  <si>
    <t>부</t>
    <phoneticPr fontId="1" type="noConversion"/>
  </si>
  <si>
    <t>형</t>
    <phoneticPr fontId="1" type="noConversion"/>
  </si>
  <si>
    <t>제</t>
    <phoneticPr fontId="1" type="noConversion"/>
  </si>
  <si>
    <t>자</t>
    <phoneticPr fontId="1" type="noConversion"/>
  </si>
  <si>
    <t>매</t>
    <phoneticPr fontId="1" type="noConversion"/>
  </si>
  <si>
    <t>병역</t>
    <phoneticPr fontId="1" type="noConversion"/>
  </si>
  <si>
    <t>취득자격증</t>
    <phoneticPr fontId="1" type="noConversion"/>
  </si>
  <si>
    <t>입학경로</t>
    <phoneticPr fontId="1" type="noConversion"/>
  </si>
  <si>
    <t>NO</t>
    <phoneticPr fontId="1" type="noConversion"/>
  </si>
  <si>
    <t>현상태</t>
    <phoneticPr fontId="1" type="noConversion"/>
  </si>
  <si>
    <t>기숙사</t>
  </si>
  <si>
    <t>인터넷</t>
  </si>
  <si>
    <t>21세</t>
  </si>
  <si>
    <t>40세</t>
  </si>
  <si>
    <t>27세</t>
  </si>
  <si>
    <t>28세</t>
  </si>
  <si>
    <t>30세</t>
  </si>
  <si>
    <t>60세</t>
  </si>
  <si>
    <t>20세</t>
  </si>
  <si>
    <t>26세</t>
  </si>
  <si>
    <t>23세</t>
  </si>
  <si>
    <t>25세</t>
  </si>
  <si>
    <t>50세</t>
  </si>
  <si>
    <t>24세</t>
  </si>
  <si>
    <t>990720-1169529</t>
  </si>
  <si>
    <t>990914-2083016</t>
  </si>
  <si>
    <t>800303-1081217</t>
  </si>
  <si>
    <t>930217-1074716</t>
  </si>
  <si>
    <t>930320-1236716</t>
  </si>
  <si>
    <t>920127-1168315</t>
  </si>
  <si>
    <t>900629-1063413</t>
  </si>
  <si>
    <t>591010-1148511</t>
  </si>
  <si>
    <t>000229-3065514</t>
  </si>
  <si>
    <t>900505-1565813</t>
  </si>
  <si>
    <t>940726-1030613</t>
  </si>
  <si>
    <t>970630-1065314</t>
  </si>
  <si>
    <t>940201-1048412</t>
  </si>
  <si>
    <t>950803-1561121</t>
  </si>
  <si>
    <t>700326-1067911</t>
  </si>
  <si>
    <t>960516-1168323</t>
  </si>
  <si>
    <t>940624-1187230</t>
  </si>
  <si>
    <t>960531-1045212</t>
  </si>
  <si>
    <t>941103-1205431</t>
  </si>
  <si>
    <t>950424-1165027</t>
  </si>
  <si>
    <t>970418-1212218</t>
  </si>
  <si>
    <t>940520-1178015</t>
  </si>
  <si>
    <t>김동욱</t>
  </si>
  <si>
    <t>김범민</t>
  </si>
  <si>
    <t>김수현</t>
  </si>
  <si>
    <t>김재겸</t>
  </si>
  <si>
    <t>김진성</t>
  </si>
  <si>
    <t>김진학</t>
  </si>
  <si>
    <t>김진호</t>
  </si>
  <si>
    <t>김학재</t>
  </si>
  <si>
    <t>김해진</t>
  </si>
  <si>
    <t>박준규</t>
  </si>
  <si>
    <t>방기현</t>
  </si>
  <si>
    <t>서권혁</t>
  </si>
  <si>
    <t>손성식</t>
  </si>
  <si>
    <t>유준호</t>
  </si>
  <si>
    <t>이수민</t>
  </si>
  <si>
    <t>이주호</t>
  </si>
  <si>
    <t>정승규</t>
  </si>
  <si>
    <t>정윤호</t>
  </si>
  <si>
    <t>조한솔</t>
  </si>
  <si>
    <t>최명진</t>
  </si>
  <si>
    <t>최백산</t>
  </si>
  <si>
    <t>최성민</t>
  </si>
  <si>
    <t>한기훈</t>
  </si>
  <si>
    <t>010-7356-1445</t>
  </si>
  <si>
    <t>010-5826-1533</t>
  </si>
  <si>
    <t>010-6223-3549</t>
  </si>
  <si>
    <t>010-6636-6534</t>
  </si>
  <si>
    <t>010-2063-0320</t>
  </si>
  <si>
    <t>010-8835-3965</t>
  </si>
  <si>
    <t>010-4784-7311</t>
  </si>
  <si>
    <t>010-3693-0661</t>
  </si>
  <si>
    <t>010-9426-7987</t>
  </si>
  <si>
    <t>010-4338-3252</t>
  </si>
  <si>
    <t>010-2746-8314</t>
  </si>
  <si>
    <t>010-3360-5783</t>
  </si>
  <si>
    <t>010-5402-1847</t>
  </si>
  <si>
    <t>010-6239-6195</t>
  </si>
  <si>
    <t>010-3716-0326</t>
  </si>
  <si>
    <t>010-4145-2288</t>
  </si>
  <si>
    <t>010-3330-4615</t>
  </si>
  <si>
    <t>010-5338-2271</t>
  </si>
  <si>
    <t>010-2773-9882</t>
  </si>
  <si>
    <t>010-3454-8804</t>
  </si>
  <si>
    <t>010-3374-6806</t>
  </si>
  <si>
    <t>deepnt@naver.com</t>
  </si>
  <si>
    <t>kjgs7@naver.com</t>
  </si>
  <si>
    <t>rla20809@gamil.com</t>
  </si>
  <si>
    <t>jinhar0320@naver.com</t>
  </si>
  <si>
    <t>shiny30210@naver.com</t>
  </si>
  <si>
    <t>dancingking7@naver.com</t>
  </si>
  <si>
    <t>khj10102002@naver.com</t>
  </si>
  <si>
    <t>monadatan@naver.com</t>
  </si>
  <si>
    <t>pand4@daum.net</t>
  </si>
  <si>
    <t>sidnell@naver.com</t>
  </si>
  <si>
    <t>bk5708@naver.com</t>
  </si>
  <si>
    <t>xxcv121@naver.com</t>
  </si>
  <si>
    <t>leesm803@naver.com</t>
  </si>
  <si>
    <t>juho0326@naver.com</t>
  </si>
  <si>
    <t>js007js@naver.com</t>
  </si>
  <si>
    <t>0531cho@naver.com</t>
  </si>
  <si>
    <t>chmmjj12@gmail.com</t>
  </si>
  <si>
    <t>baksan123@naver.com</t>
  </si>
  <si>
    <t>tjdais9979@naver.com</t>
  </si>
  <si>
    <t>kihun1994@naver.com</t>
  </si>
  <si>
    <t>분당고</t>
  </si>
  <si>
    <t>수도전기공업고</t>
  </si>
  <si>
    <t>한국방송통신대</t>
  </si>
  <si>
    <t>광주고</t>
  </si>
  <si>
    <t>상지영서대</t>
  </si>
  <si>
    <t>조원고</t>
  </si>
  <si>
    <t>강남대</t>
  </si>
  <si>
    <t>육군3사관학교</t>
  </si>
  <si>
    <t>신림고</t>
  </si>
  <si>
    <t>대진대</t>
  </si>
  <si>
    <t>광주조선이공대</t>
  </si>
  <si>
    <t>효자고</t>
  </si>
  <si>
    <t>단국대학교부속고</t>
  </si>
  <si>
    <t>시온고</t>
  </si>
  <si>
    <t>중대부고</t>
  </si>
  <si>
    <t>방송통신대</t>
  </si>
  <si>
    <t>외국대 BCIT(캐나다)</t>
  </si>
  <si>
    <t>경북대</t>
  </si>
  <si>
    <t>의정부고</t>
  </si>
  <si>
    <t>동강대</t>
  </si>
  <si>
    <t>경기도 용인시 처인구 모현면 왕림로42번길 9-5 (101호)</t>
  </si>
  <si>
    <t>서울특별시 송파구 동남로 28길 28 202호 (오금동)</t>
  </si>
  <si>
    <t>경기도 광주시 경안동 47-6, 305호</t>
  </si>
  <si>
    <t>경기도 용인시 수지구 신봉1로 28, 서흥마을 4단지 402동 401호</t>
  </si>
  <si>
    <t>경기도 광주시 회안대로 621-21 (벽산아파트 203동 701호)</t>
  </si>
  <si>
    <t>경기도 광주시 경안천로 145 (금강팬테리움 206동103호)</t>
  </si>
  <si>
    <t>경기도 용인시 수지구 포은대로 231 (현대홈타운 204동 401호)</t>
  </si>
  <si>
    <t>경기도 용인시 수지구 심곡로 21 (삼성빌리지 101동 401호)</t>
  </si>
  <si>
    <t>서울특별시 관악구 난우2길 30, B101호 (신림동, 동수빌라)</t>
  </si>
  <si>
    <t>서울특별시 서대문구 가재울미래로 2 108동 501호</t>
  </si>
  <si>
    <t>충남 천안시 서북구 성정동 1082번지 꿈꾸는 오스카빌 310호</t>
  </si>
  <si>
    <t>경기도 광주시 회안대로 350-25  (쌍용아파트 1단지 102동 1204호)</t>
  </si>
  <si>
    <t>서울특별시 동대문구 무학로26길 30 (용두신동아 105동 1101호)</t>
  </si>
  <si>
    <t>경기도 부천시 범박동 154-2 (부천범박힐스테이트 101동 107호)</t>
  </si>
  <si>
    <t>경기도 여주시 도예로 83-60(e편한세상, 104동 404호)</t>
  </si>
  <si>
    <t>경기도 광주시 회덕길 53-9</t>
  </si>
  <si>
    <t>경기도 성남시 분당구 내정로151 (금호3단지 303동 301호)</t>
  </si>
  <si>
    <t>경기도 평택시 비전3로 호반베르디움 1108동 303호</t>
  </si>
  <si>
    <t>충청남도 서산시 대산읍 충의로 2083 (대원빌라아파트 209호)</t>
  </si>
  <si>
    <t>경기도 양주시 회정로 109번길 41-10 (덕정동)</t>
  </si>
  <si>
    <t>경기도 광주시 오포읍 수레실길 62-13 수레숲타운하우스 104호</t>
  </si>
  <si>
    <t>통학</t>
  </si>
  <si>
    <t>주위권유:아버지</t>
  </si>
  <si>
    <t>인터넷, 전단지</t>
  </si>
  <si>
    <t>인터넷(학교홈페이지)</t>
  </si>
  <si>
    <t>주위권유:가족(모)</t>
  </si>
  <si>
    <t>주위권유:가족(부)</t>
  </si>
  <si>
    <t>인터넷(hrd-net)</t>
  </si>
  <si>
    <t>인터넷(블로그)</t>
  </si>
  <si>
    <t>인터넷(워크넷)</t>
  </si>
  <si>
    <t>수료후진로</t>
    <phoneticPr fontId="1" type="noConversion"/>
  </si>
  <si>
    <t>취업분야</t>
    <phoneticPr fontId="1" type="noConversion"/>
  </si>
  <si>
    <t>1순위</t>
    <phoneticPr fontId="1" type="noConversion"/>
  </si>
  <si>
    <t>2순위</t>
    <phoneticPr fontId="1" type="noConversion"/>
  </si>
  <si>
    <t>3순위</t>
    <phoneticPr fontId="1" type="noConversion"/>
  </si>
  <si>
    <t>경력사항</t>
    <phoneticPr fontId="1" type="noConversion"/>
  </si>
  <si>
    <t>근무기간</t>
    <phoneticPr fontId="1" type="noConversion"/>
  </si>
  <si>
    <t>기업명</t>
    <phoneticPr fontId="1" type="noConversion"/>
  </si>
  <si>
    <t>직위</t>
    <phoneticPr fontId="1" type="noConversion"/>
  </si>
  <si>
    <t>업종</t>
    <phoneticPr fontId="1" type="noConversion"/>
  </si>
  <si>
    <t>관심자격증</t>
    <phoneticPr fontId="1" type="noConversion"/>
  </si>
  <si>
    <t>자격종목</t>
    <phoneticPr fontId="1" type="noConversion"/>
  </si>
  <si>
    <t>시행일자</t>
    <phoneticPr fontId="1" type="noConversion"/>
  </si>
  <si>
    <t>일반케이블공사</t>
    <phoneticPr fontId="1" type="noConversion"/>
  </si>
  <si>
    <t>광계이블공사</t>
    <phoneticPr fontId="1" type="noConversion"/>
  </si>
  <si>
    <t>네트워크유지보수</t>
    <phoneticPr fontId="1" type="noConversion"/>
  </si>
  <si>
    <t>네트워크구축공사</t>
    <phoneticPr fontId="1" type="noConversion"/>
  </si>
  <si>
    <t>IoT서비스 관리계획 수립</t>
    <phoneticPr fontId="1" type="noConversion"/>
  </si>
  <si>
    <t>IoT응용소프트웨어 기획</t>
    <phoneticPr fontId="1" type="noConversion"/>
  </si>
  <si>
    <t>IoT 디바이스 기획</t>
    <phoneticPr fontId="1" type="noConversion"/>
  </si>
  <si>
    <t>IoT환경분석</t>
    <phoneticPr fontId="1" type="noConversion"/>
  </si>
  <si>
    <t>IoT 서비스 모형기획</t>
    <phoneticPr fontId="1" type="noConversion"/>
  </si>
  <si>
    <t>데이터 분석기획</t>
    <phoneticPr fontId="1" type="noConversion"/>
  </si>
  <si>
    <t>사물인터넷(IoT)개론</t>
    <phoneticPr fontId="1" type="noConversion"/>
  </si>
  <si>
    <t>직업기초능력</t>
    <phoneticPr fontId="1" type="noConversion"/>
  </si>
  <si>
    <t>수행평가</t>
    <phoneticPr fontId="1" type="noConversion"/>
  </si>
  <si>
    <t>학업능력</t>
    <phoneticPr fontId="1" type="noConversion"/>
  </si>
  <si>
    <t>취업능력</t>
    <phoneticPr fontId="1" type="noConversion"/>
  </si>
  <si>
    <t>교우생활</t>
    <phoneticPr fontId="1" type="noConversion"/>
  </si>
  <si>
    <t>특이사항</t>
    <phoneticPr fontId="1" type="noConversion"/>
  </si>
  <si>
    <t>일자</t>
    <phoneticPr fontId="1" type="noConversion"/>
  </si>
  <si>
    <t>상담내용</t>
    <phoneticPr fontId="1" type="noConversion"/>
  </si>
  <si>
    <t>싱딤기록카드</t>
    <phoneticPr fontId="1" type="noConversion"/>
  </si>
  <si>
    <t>재학</t>
    <phoneticPr fontId="1" type="noConversion"/>
  </si>
  <si>
    <t>890517-1168315</t>
    <phoneticPr fontId="1" type="noConversion"/>
  </si>
  <si>
    <t>waoodaa4@naver.com</t>
    <phoneticPr fontId="1" type="noConversion"/>
  </si>
  <si>
    <t>재학</t>
    <phoneticPr fontId="1" type="noConversion"/>
  </si>
  <si>
    <t>1.  학업을 따라가 위한 능력이 많이 부족하여 고민이 되고 있음 - 학업포기를 생각하기도 함
&gt; 현재 약물(조울증)치료를 받고 있어 수업진행에는 어려움이 있지만 정상적인 학업 진행을 위해 노력하고 있음
2. 취업보다는 진학을 생각하고 있음
&gt; 수료 후 ICT폴리텍대학으로 진학하기를 희망하고 있어 부모님과 상의를 할 예정  
3. 부족한 학업은 개인지도 받기를 희망함</t>
    <phoneticPr fontId="1" type="noConversion"/>
  </si>
  <si>
    <t>26세</t>
    <phoneticPr fontId="1" type="noConversion"/>
  </si>
  <si>
    <t>경기도 고양시 일산동구위시티 2로 43-27</t>
    <phoneticPr fontId="1" type="noConversion"/>
  </si>
  <si>
    <t>진학(ICT폴리텍)</t>
    <phoneticPr fontId="1" type="noConversion"/>
  </si>
  <si>
    <t>네트워크관리사</t>
    <phoneticPr fontId="1" type="noConversion"/>
  </si>
  <si>
    <t>정윤호</t>
    <phoneticPr fontId="1" type="noConversion"/>
  </si>
  <si>
    <t>저현고</t>
    <phoneticPr fontId="1" type="noConversion"/>
  </si>
  <si>
    <t>기숙사</t>
    <phoneticPr fontId="1" type="noConversion"/>
  </si>
  <si>
    <t>인터넷</t>
    <phoneticPr fontId="1" type="noConversion"/>
  </si>
  <si>
    <t>경기도 광주시 쌍령동 산54-1 센트럴푸르지오 (118동 1001호)</t>
    <phoneticPr fontId="1" type="noConversion"/>
  </si>
  <si>
    <t>신구대</t>
    <phoneticPr fontId="1" type="noConversion"/>
  </si>
  <si>
    <t>통학</t>
    <phoneticPr fontId="1" type="noConversion"/>
  </si>
  <si>
    <t>주위권유:어머니</t>
    <phoneticPr fontId="1" type="noConversion"/>
  </si>
  <si>
    <t>김동욱</t>
    <phoneticPr fontId="1" type="noConversion"/>
  </si>
  <si>
    <t>29세</t>
    <phoneticPr fontId="1" type="noConversion"/>
  </si>
  <si>
    <t>010-5162-7322</t>
    <phoneticPr fontId="1" type="noConversion"/>
  </si>
  <si>
    <t>kimdwdw@naver.com</t>
    <phoneticPr fontId="1" type="noConversion"/>
  </si>
  <si>
    <t>010-3014-4060</t>
    <phoneticPr fontId="1" type="noConversion"/>
  </si>
  <si>
    <t>제2국민역</t>
    <phoneticPr fontId="1" type="noConversion"/>
  </si>
  <si>
    <t>정보처리기능사</t>
    <phoneticPr fontId="1" type="noConversion"/>
  </si>
  <si>
    <t>통신선로기능사</t>
    <phoneticPr fontId="1" type="noConversion"/>
  </si>
  <si>
    <t>하</t>
    <phoneticPr fontId="1" type="noConversion"/>
  </si>
  <si>
    <t>중</t>
    <phoneticPr fontId="1" type="noConversion"/>
  </si>
  <si>
    <t>1. 현재 후천적으로 약물치료(조울증)를 하고 있지만 신체적으로는 정상임
2, 부모님이 이혼한 상태로서 어머님과 함께 생활하고 있음</t>
    <phoneticPr fontId="1" type="noConversion"/>
  </si>
  <si>
    <t>학업에 대한 이해도 및 집중력이 부족</t>
    <phoneticPr fontId="1" type="noConversion"/>
  </si>
  <si>
    <t>자신의 부족한 점(조울증)이 있어 취업은 어려움</t>
    <phoneticPr fontId="1" type="noConversion"/>
  </si>
  <si>
    <t>자신의 부족한 점이 있지만 교우들과의 생활은 양호함</t>
    <phoneticPr fontId="1" type="noConversion"/>
  </si>
  <si>
    <t>3/26</t>
    <phoneticPr fontId="1" type="noConversion"/>
  </si>
  <si>
    <t>개 인 정 보</t>
    <phoneticPr fontId="1" type="noConversion"/>
  </si>
  <si>
    <t>네트워크과정 명단표</t>
    <phoneticPr fontId="1" type="noConversion"/>
  </si>
  <si>
    <t>성명</t>
    <phoneticPr fontId="1" type="noConversion"/>
  </si>
  <si>
    <t>생년월일</t>
    <phoneticPr fontId="1" type="noConversion"/>
  </si>
  <si>
    <t>전화번호</t>
    <phoneticPr fontId="1" type="noConversion"/>
  </si>
  <si>
    <t>E-mail</t>
    <phoneticPr fontId="1" type="noConversion"/>
  </si>
  <si>
    <t>주소</t>
    <phoneticPr fontId="1" type="noConversion"/>
  </si>
  <si>
    <t>현상태</t>
    <phoneticPr fontId="1" type="noConversion"/>
  </si>
  <si>
    <t>병역</t>
    <phoneticPr fontId="1" type="noConversion"/>
  </si>
  <si>
    <t>통학여부</t>
    <phoneticPr fontId="1" type="noConversion"/>
  </si>
  <si>
    <t>성나은</t>
    <phoneticPr fontId="1" type="noConversion"/>
  </si>
  <si>
    <t>심혜진</t>
    <phoneticPr fontId="1" type="noConversion"/>
  </si>
  <si>
    <t>김상식</t>
    <phoneticPr fontId="1" type="noConversion"/>
  </si>
  <si>
    <t>852</t>
    <phoneticPr fontId="1" type="noConversion"/>
  </si>
  <si>
    <t>352</t>
    <phoneticPr fontId="1" type="noConversion"/>
  </si>
  <si>
    <t>658946133</t>
    <phoneticPr fontId="1" type="noConversion"/>
  </si>
  <si>
    <t>289555555</t>
    <phoneticPr fontId="1" type="noConversion"/>
  </si>
  <si>
    <t>@ss</t>
    <phoneticPr fontId="1" type="noConversion"/>
  </si>
  <si>
    <t>@Fse</t>
    <phoneticPr fontId="1" type="noConversion"/>
  </si>
  <si>
    <t>@gg</t>
    <phoneticPr fontId="1" type="noConversion"/>
  </si>
  <si>
    <t>@gg</t>
    <phoneticPr fontId="1" type="noConversion"/>
  </si>
  <si>
    <t>@hskl</t>
    <phoneticPr fontId="1" type="noConversion"/>
  </si>
  <si>
    <t>경기광주</t>
    <phoneticPr fontId="1" type="noConversion"/>
  </si>
  <si>
    <t>화성</t>
    <phoneticPr fontId="1" type="noConversion"/>
  </si>
  <si>
    <t>부산</t>
    <phoneticPr fontId="1" type="noConversion"/>
  </si>
  <si>
    <t>수강</t>
    <phoneticPr fontId="1" type="noConversion"/>
  </si>
  <si>
    <t>미수강</t>
    <phoneticPr fontId="1" type="noConversion"/>
  </si>
  <si>
    <t>미수간</t>
    <phoneticPr fontId="1" type="noConversion"/>
  </si>
  <si>
    <t>미필</t>
    <phoneticPr fontId="1" type="noConversion"/>
  </si>
  <si>
    <t>군필</t>
    <phoneticPr fontId="1" type="noConversion"/>
  </si>
  <si>
    <t>통학</t>
    <phoneticPr fontId="1" type="noConversion"/>
  </si>
  <si>
    <t>Dim no</t>
  </si>
  <si>
    <t>Sub 홍길동_Click()</t>
  </si>
  <si>
    <t xml:space="preserve">    no = 6</t>
  </si>
  <si>
    <t xml:space="preserve">    print_Out</t>
  </si>
  <si>
    <t>End Sub</t>
  </si>
  <si>
    <t>Sub print_Out()</t>
  </si>
  <si>
    <t xml:space="preserve">    Range("R2").Value = Worksheets("vsub").Range("B" &amp; no).Value</t>
  </si>
  <si>
    <t>홍길동</t>
    <phoneticPr fontId="1" type="noConversion"/>
  </si>
  <si>
    <t>@ff</t>
    <phoneticPr fontId="1" type="noConversion"/>
  </si>
  <si>
    <t>수강</t>
    <phoneticPr fontId="1" type="noConversion"/>
  </si>
  <si>
    <t>통학</t>
    <phoneticPr fontId="1" type="noConversion"/>
  </si>
  <si>
    <t>032569812</t>
    <phoneticPr fontId="1" type="noConversion"/>
  </si>
  <si>
    <t>미필</t>
    <phoneticPr fontId="1" type="noConversion"/>
  </si>
  <si>
    <t>789</t>
    <phoneticPr fontId="1" type="noConversion"/>
  </si>
  <si>
    <t>985236412</t>
    <phoneticPr fontId="1" type="noConversion"/>
  </si>
  <si>
    <t>서울</t>
    <phoneticPr fontId="1" type="noConversion"/>
  </si>
  <si>
    <t>268</t>
    <phoneticPr fontId="1" type="noConversion"/>
  </si>
  <si>
    <t>254985156</t>
    <phoneticPr fontId="1" type="noConversion"/>
  </si>
  <si>
    <t>통학</t>
    <phoneticPr fontId="1" type="noConversion"/>
  </si>
  <si>
    <t>김명식</t>
    <phoneticPr fontId="1" type="noConversion"/>
  </si>
  <si>
    <t>수강</t>
    <phoneticPr fontId="1" type="noConversion"/>
  </si>
  <si>
    <t>456</t>
    <phoneticPr fontId="1" type="noConversion"/>
  </si>
  <si>
    <t>울산</t>
    <phoneticPr fontId="1" type="noConversion"/>
  </si>
  <si>
    <t>미필</t>
    <phoneticPr fontId="1" type="noConversion"/>
  </si>
  <si>
    <t>960830</t>
    <phoneticPr fontId="1" type="noConversion"/>
  </si>
  <si>
    <t>123456798</t>
    <phoneticPr fontId="1" type="noConversion"/>
  </si>
  <si>
    <t>군필</t>
    <phoneticPr fontId="1" type="noConversion"/>
  </si>
  <si>
    <t>표연식</t>
    <phoneticPr fontId="1" type="noConversion"/>
  </si>
  <si>
    <t>ggif@ggif</t>
    <phoneticPr fontId="1" type="noConversion"/>
  </si>
  <si>
    <t>통학</t>
    <phoneticPr fontId="1" type="noConversion"/>
  </si>
  <si>
    <t>789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</si>
</sst>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m&quot;월&quot;\ d&quot;일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20"/>
      <color theme="3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rgb="FF00245E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6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27" applyFill="0" applyAlignment="0" applyProtection="0">
      <alignment vertical="center"/>
    </xf>
    <xf numFmtId="0" fontId="9" fillId="4" borderId="26" applyAlignment="0" applyProtection="0">
      <alignment vertical="center"/>
    </xf>
    <xf numFmtId="0" fontId="8" fillId="0" borderId="28" applyNumberFormat="0" applyFont="0" applyFill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5" fillId="0" borderId="0" xfId="0" applyFont="1" applyAlignment="1">
      <alignment vertical="center" shrinkToFit="1"/>
    </xf>
    <xf numFmtId="0" fontId="5" fillId="3" borderId="1" xfId="0" applyFont="1" applyFill="1" applyBorder="1" applyAlignment="1">
      <alignment vertical="center" shrinkToFit="1"/>
    </xf>
    <xf numFmtId="0" fontId="5" fillId="0" borderId="6" xfId="0" applyFont="1" applyBorder="1" applyAlignment="1">
      <alignment vertical="center" shrinkToFit="1"/>
    </xf>
    <xf numFmtId="0" fontId="5" fillId="0" borderId="1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18" xfId="0" applyFont="1" applyBorder="1" applyAlignment="1">
      <alignment vertical="center" shrinkToFit="1"/>
    </xf>
    <xf numFmtId="0" fontId="5" fillId="0" borderId="19" xfId="0" applyFont="1" applyBorder="1" applyAlignment="1">
      <alignment horizontal="center" vertical="center" shrinkToFit="1"/>
    </xf>
    <xf numFmtId="0" fontId="5" fillId="0" borderId="20" xfId="0" applyFont="1" applyBorder="1" applyAlignment="1">
      <alignment horizontal="center" vertical="center" shrinkToFit="1"/>
    </xf>
    <xf numFmtId="0" fontId="2" fillId="0" borderId="0" xfId="0" applyFont="1" applyAlignment="1">
      <alignment vertical="center" shrinkToFit="1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wrapText="1"/>
    </xf>
    <xf numFmtId="176" fontId="5" fillId="0" borderId="0" xfId="0" applyNumberFormat="1" applyFont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shrinkToFit="1"/>
    </xf>
    <xf numFmtId="0" fontId="2" fillId="0" borderId="0" xfId="0" applyFont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5" borderId="0" xfId="0" applyFill="1" applyAlignment="1">
      <alignment horizontal="center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2" borderId="6" xfId="0" applyNumberFormat="1" applyFont="1" applyFill="1" applyBorder="1" applyAlignment="1">
      <alignment horizontal="center" vertical="center"/>
    </xf>
    <xf numFmtId="49" fontId="4" fillId="0" borderId="5" xfId="0" applyNumberFormat="1" applyFont="1" applyFill="1" applyBorder="1" applyAlignment="1">
      <alignment horizontal="center" vertical="center"/>
    </xf>
    <xf numFmtId="49" fontId="4" fillId="0" borderId="14" xfId="0" applyNumberFormat="1" applyFont="1" applyFill="1" applyBorder="1" applyAlignment="1">
      <alignment horizontal="center" vertical="center"/>
    </xf>
    <xf numFmtId="49" fontId="4" fillId="0" borderId="6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3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49" fontId="4" fillId="2" borderId="24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 shrinkToFit="1"/>
    </xf>
    <xf numFmtId="0" fontId="2" fillId="3" borderId="1" xfId="0" applyFont="1" applyFill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3" borderId="5" xfId="0" applyFont="1" applyFill="1" applyBorder="1" applyAlignment="1">
      <alignment horizontal="center" vertical="center" shrinkToFit="1"/>
    </xf>
    <xf numFmtId="0" fontId="2" fillId="3" borderId="15" xfId="0" applyFont="1" applyFill="1" applyBorder="1" applyAlignment="1">
      <alignment horizontal="center" vertical="center" shrinkToFit="1"/>
    </xf>
    <xf numFmtId="0" fontId="2" fillId="3" borderId="6" xfId="0" applyFont="1" applyFill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3" borderId="6" xfId="0" applyFont="1" applyFill="1" applyBorder="1" applyAlignment="1">
      <alignment horizontal="center" vertical="center" shrinkToFit="1"/>
    </xf>
    <xf numFmtId="0" fontId="5" fillId="3" borderId="16" xfId="0" applyFont="1" applyFill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0" fontId="5" fillId="0" borderId="21" xfId="0" applyFont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/>
    </xf>
    <xf numFmtId="0" fontId="6" fillId="0" borderId="3" xfId="0" applyNumberFormat="1" applyFont="1" applyFill="1" applyBorder="1" applyAlignment="1">
      <alignment horizontal="center" vertical="center"/>
    </xf>
    <xf numFmtId="49" fontId="7" fillId="0" borderId="1" xfId="1" applyNumberFormat="1" applyBorder="1" applyAlignment="1">
      <alignment horizontal="center" vertical="center"/>
    </xf>
  </cellXfs>
  <cellStyles count="6">
    <cellStyle name="데이터 영역" xfId="4"/>
    <cellStyle name="쉼표 [0] 2" xfId="5"/>
    <cellStyle name="제목 영역" xfId="2"/>
    <cellStyle name="표 머리글 영역" xfId="3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246528</xdr:colOff>
      <xdr:row>1</xdr:row>
      <xdr:rowOff>33618</xdr:rowOff>
    </xdr:from>
    <xdr:to>
      <xdr:col>4</xdr:col>
      <xdr:colOff>131800</xdr:colOff>
      <xdr:row>4</xdr:row>
      <xdr:rowOff>246530</xdr:rowOff>
    </xdr:to>
    <xdr:pic macro="[0]!홍길동click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675" y="717177"/>
          <a:ext cx="725713" cy="1120588"/>
        </a:xfrm>
        <a:prstGeom prst="rect">
          <a:avLst/>
        </a:prstGeom>
      </xdr:spPr>
    </xdr:pic>
    <xdr:clientData/>
  </xdr:twoCellAnchor>
  <xdr:twoCellAnchor editAs="oneCell">
    <xdr:from>
      <xdr:col>5</xdr:col>
      <xdr:colOff>235322</xdr:colOff>
      <xdr:row>1</xdr:row>
      <xdr:rowOff>33618</xdr:rowOff>
    </xdr:from>
    <xdr:to>
      <xdr:col>8</xdr:col>
      <xdr:colOff>123265</xdr:colOff>
      <xdr:row>4</xdr:row>
      <xdr:rowOff>250654</xdr:rowOff>
    </xdr:to>
    <xdr:pic macro="[0]!김명식click"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7" y="717177"/>
          <a:ext cx="728384" cy="1124712"/>
        </a:xfrm>
        <a:prstGeom prst="rect">
          <a:avLst/>
        </a:prstGeom>
      </xdr:spPr>
    </xdr:pic>
    <xdr:clientData/>
  </xdr:twoCellAnchor>
  <xdr:twoCellAnchor editAs="oneCell">
    <xdr:from>
      <xdr:col>9</xdr:col>
      <xdr:colOff>161204</xdr:colOff>
      <xdr:row>1</xdr:row>
      <xdr:rowOff>26736</xdr:rowOff>
    </xdr:from>
    <xdr:to>
      <xdr:col>12</xdr:col>
      <xdr:colOff>56028</xdr:colOff>
      <xdr:row>4</xdr:row>
      <xdr:rowOff>254397</xdr:rowOff>
    </xdr:to>
    <xdr:pic macro="[0]!성나은click"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2528" y="710295"/>
          <a:ext cx="735265" cy="1135337"/>
        </a:xfrm>
        <a:prstGeom prst="rect">
          <a:avLst/>
        </a:prstGeom>
      </xdr:spPr>
    </xdr:pic>
    <xdr:clientData/>
  </xdr:twoCellAnchor>
  <xdr:twoCellAnchor editAs="oneCell">
    <xdr:from>
      <xdr:col>1</xdr:col>
      <xdr:colOff>255174</xdr:colOff>
      <xdr:row>6</xdr:row>
      <xdr:rowOff>75883</xdr:rowOff>
    </xdr:from>
    <xdr:to>
      <xdr:col>4</xdr:col>
      <xdr:colOff>134470</xdr:colOff>
      <xdr:row>9</xdr:row>
      <xdr:rowOff>279567</xdr:rowOff>
    </xdr:to>
    <xdr:pic macro="[0]!심혜진click"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21" y="2272236"/>
          <a:ext cx="719737" cy="1111360"/>
        </a:xfrm>
        <a:prstGeom prst="rect">
          <a:avLst/>
        </a:prstGeom>
      </xdr:spPr>
    </xdr:pic>
    <xdr:clientData/>
  </xdr:twoCellAnchor>
  <xdr:twoCellAnchor editAs="oneCell">
    <xdr:from>
      <xdr:col>5</xdr:col>
      <xdr:colOff>259498</xdr:colOff>
      <xdr:row>6</xdr:row>
      <xdr:rowOff>24177</xdr:rowOff>
    </xdr:from>
    <xdr:to>
      <xdr:col>8</xdr:col>
      <xdr:colOff>156882</xdr:colOff>
      <xdr:row>9</xdr:row>
      <xdr:rowOff>255791</xdr:rowOff>
    </xdr:to>
    <xdr:pic macro="[0]!김상식click"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0233" y="2220530"/>
          <a:ext cx="737825" cy="1139290"/>
        </a:xfrm>
        <a:prstGeom prst="rect">
          <a:avLst/>
        </a:prstGeom>
      </xdr:spPr>
    </xdr:pic>
    <xdr:clientData/>
  </xdr:twoCellAnchor>
  <xdr:twoCellAnchor editAs="oneCell">
    <xdr:from>
      <xdr:col>9</xdr:col>
      <xdr:colOff>218996</xdr:colOff>
      <xdr:row>6</xdr:row>
      <xdr:rowOff>50912</xdr:rowOff>
    </xdr:from>
    <xdr:to>
      <xdr:col>12</xdr:col>
      <xdr:colOff>67234</xdr:colOff>
      <xdr:row>9</xdr:row>
      <xdr:rowOff>206638</xdr:rowOff>
    </xdr:to>
    <xdr:pic macro="[0]!표연식click"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320" y="2247265"/>
          <a:ext cx="688679" cy="1063402"/>
        </a:xfrm>
        <a:prstGeom prst="rect">
          <a:avLst/>
        </a:prstGeom>
      </xdr:spPr>
    </xdr:pic>
    <xdr:clientData/>
  </xdr:twoCellAnchor>
  <xdr:twoCellAnchor>
    <xdr:from>
      <xdr:col>30</xdr:col>
      <xdr:colOff>257735</xdr:colOff>
      <xdr:row>0</xdr:row>
      <xdr:rowOff>134471</xdr:rowOff>
    </xdr:from>
    <xdr:to>
      <xdr:col>33</xdr:col>
      <xdr:colOff>67235</xdr:colOff>
      <xdr:row>0</xdr:row>
      <xdr:rowOff>493059</xdr:rowOff>
    </xdr:to>
    <xdr:sp macro="[0]!저장" textlink="">
      <xdr:nvSpPr>
        <xdr:cNvPr id="8" name="모서리가 둥근 직사각형 7"/>
        <xdr:cNvSpPr/>
      </xdr:nvSpPr>
      <xdr:spPr>
        <a:xfrm>
          <a:off x="8662147" y="134471"/>
          <a:ext cx="649941" cy="358588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/>
            <a:t>save</a:t>
          </a:r>
          <a:endParaRPr lang="ko-KR" alt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gif@ggi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28"/>
  <sheetViews>
    <sheetView tabSelected="1" zoomScale="85" zoomScaleNormal="85" workbookViewId="0">
      <selection activeCell="AQ10" sqref="AQ10"/>
    </sheetView>
  </sheetViews>
  <sheetFormatPr defaultRowHeight="16.5" x14ac:dyDescent="0.3"/>
  <cols>
    <col min="1" max="34" width="3.625" customWidth="1"/>
    <col min="35" max="35" width="6.625" customWidth="1"/>
    <col min="36" max="49" width="5.625" customWidth="1"/>
  </cols>
  <sheetData>
    <row r="1" spans="1:34" ht="54" customHeight="1" x14ac:dyDescent="0.3">
      <c r="A1" s="41" t="s">
        <v>248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6" t="s">
        <v>247</v>
      </c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7"/>
    </row>
    <row r="2" spans="1:34" ht="24" customHeight="1" x14ac:dyDescent="0.3">
      <c r="A2" s="53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55"/>
      <c r="O2" s="33" t="s">
        <v>0</v>
      </c>
      <c r="P2" s="31"/>
      <c r="Q2" s="31"/>
      <c r="R2" s="32" t="s">
        <v>257</v>
      </c>
      <c r="S2" s="32"/>
      <c r="T2" s="32"/>
      <c r="U2" s="32"/>
      <c r="V2" s="31" t="s">
        <v>1</v>
      </c>
      <c r="W2" s="31"/>
      <c r="X2" s="31"/>
      <c r="Y2" s="34" t="s">
        <v>308</v>
      </c>
      <c r="Z2" s="35"/>
      <c r="AA2" s="35"/>
      <c r="AB2" s="35"/>
      <c r="AC2" s="35"/>
      <c r="AD2" s="36"/>
      <c r="AE2" s="31" t="s">
        <v>4</v>
      </c>
      <c r="AF2" s="31"/>
      <c r="AG2" s="32" t="s">
        <v>292</v>
      </c>
      <c r="AH2" s="50"/>
    </row>
    <row r="3" spans="1:34" ht="24" customHeight="1" x14ac:dyDescent="0.3">
      <c r="A3" s="53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55"/>
      <c r="O3" s="33" t="s">
        <v>3</v>
      </c>
      <c r="P3" s="31"/>
      <c r="Q3" s="31"/>
      <c r="R3" s="32" t="s">
        <v>265</v>
      </c>
      <c r="S3" s="32"/>
      <c r="T3" s="32"/>
      <c r="U3" s="32"/>
      <c r="V3" s="31" t="s">
        <v>6</v>
      </c>
      <c r="W3" s="31"/>
      <c r="X3" s="31"/>
      <c r="Y3" s="72" t="s">
        <v>293</v>
      </c>
      <c r="Z3" s="32"/>
      <c r="AA3" s="32"/>
      <c r="AB3" s="32"/>
      <c r="AC3" s="32"/>
      <c r="AD3" s="32"/>
      <c r="AE3" s="31" t="s">
        <v>5</v>
      </c>
      <c r="AF3" s="31"/>
      <c r="AG3" s="48" t="s">
        <v>287</v>
      </c>
      <c r="AH3" s="49"/>
    </row>
    <row r="4" spans="1:34" ht="24" customHeight="1" x14ac:dyDescent="0.3">
      <c r="A4" s="53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55"/>
      <c r="O4" s="44" t="s">
        <v>2</v>
      </c>
      <c r="P4" s="45"/>
      <c r="Q4" s="45"/>
      <c r="R4" s="51" t="s">
        <v>276</v>
      </c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45" t="s">
        <v>15</v>
      </c>
      <c r="AF4" s="45"/>
      <c r="AG4" s="51" t="s">
        <v>288</v>
      </c>
      <c r="AH4" s="52"/>
    </row>
    <row r="5" spans="1:34" ht="24" customHeight="1" x14ac:dyDescent="0.3">
      <c r="A5" s="53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55"/>
      <c r="O5" s="22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4"/>
    </row>
    <row r="6" spans="1:34" ht="24" customHeight="1" x14ac:dyDescent="0.3">
      <c r="A6" s="53"/>
      <c r="B6" s="38" t="str">
        <f>VSUB!B6</f>
        <v>홍길동</v>
      </c>
      <c r="C6" s="70"/>
      <c r="D6" s="70"/>
      <c r="E6" s="70"/>
      <c r="F6" s="38" t="str">
        <f>VSUB!B7</f>
        <v>김명식</v>
      </c>
      <c r="G6" s="70"/>
      <c r="H6" s="70"/>
      <c r="I6" s="70"/>
      <c r="J6" s="38" t="str">
        <f>VSUB!B8</f>
        <v>성나은</v>
      </c>
      <c r="K6" s="70"/>
      <c r="L6" s="70"/>
      <c r="M6" s="70"/>
      <c r="N6" s="55"/>
      <c r="O6" s="25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7"/>
    </row>
    <row r="7" spans="1:34" ht="24" customHeight="1" x14ac:dyDescent="0.3">
      <c r="A7" s="53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55"/>
      <c r="O7" s="25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7"/>
    </row>
    <row r="8" spans="1:34" ht="24" customHeight="1" x14ac:dyDescent="0.3">
      <c r="A8" s="53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55"/>
      <c r="O8" s="25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7"/>
    </row>
    <row r="9" spans="1:34" ht="24" customHeight="1" x14ac:dyDescent="0.3">
      <c r="A9" s="53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55"/>
      <c r="O9" s="25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7"/>
    </row>
    <row r="10" spans="1:34" ht="24" customHeight="1" x14ac:dyDescent="0.3">
      <c r="A10" s="53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55"/>
      <c r="O10" s="25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7"/>
    </row>
    <row r="11" spans="1:34" ht="24" customHeight="1" x14ac:dyDescent="0.3">
      <c r="A11" s="54"/>
      <c r="B11" s="39" t="str">
        <f>VSUB!B9</f>
        <v>심혜진</v>
      </c>
      <c r="C11" s="71"/>
      <c r="D11" s="71"/>
      <c r="E11" s="71"/>
      <c r="F11" s="39" t="str">
        <f>VSUB!B10</f>
        <v>김상식</v>
      </c>
      <c r="G11" s="71"/>
      <c r="H11" s="71"/>
      <c r="I11" s="71"/>
      <c r="J11" s="39" t="str">
        <f>VSUB!B11</f>
        <v>표연식</v>
      </c>
      <c r="K11" s="71"/>
      <c r="L11" s="71"/>
      <c r="M11" s="71"/>
      <c r="N11" s="56"/>
      <c r="O11" s="28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30"/>
    </row>
    <row r="12" spans="1:34" ht="24" customHeight="1" x14ac:dyDescent="0.3"/>
    <row r="13" spans="1:34" ht="24" customHeight="1" x14ac:dyDescent="0.3"/>
    <row r="14" spans="1:34" ht="24" customHeight="1" x14ac:dyDescent="0.3">
      <c r="AF14" t="s">
        <v>278</v>
      </c>
    </row>
    <row r="15" spans="1:34" ht="24" customHeight="1" x14ac:dyDescent="0.3"/>
    <row r="16" spans="1:34" ht="24" customHeight="1" x14ac:dyDescent="0.3">
      <c r="AF16" t="s">
        <v>279</v>
      </c>
    </row>
    <row r="17" spans="32:32" ht="30" customHeight="1" x14ac:dyDescent="0.3">
      <c r="AF17" t="s">
        <v>280</v>
      </c>
    </row>
    <row r="18" spans="32:32" ht="30" customHeight="1" x14ac:dyDescent="0.3">
      <c r="AF18" t="s">
        <v>281</v>
      </c>
    </row>
    <row r="19" spans="32:32" ht="26.1" customHeight="1" x14ac:dyDescent="0.3">
      <c r="AF19" t="s">
        <v>282</v>
      </c>
    </row>
    <row r="20" spans="32:32" ht="26.1" customHeight="1" x14ac:dyDescent="0.3"/>
    <row r="21" spans="32:32" ht="26.1" customHeight="1" x14ac:dyDescent="0.3">
      <c r="AF21" t="s">
        <v>283</v>
      </c>
    </row>
    <row r="22" spans="32:32" ht="26.1" customHeight="1" x14ac:dyDescent="0.3">
      <c r="AF22" t="s">
        <v>284</v>
      </c>
    </row>
    <row r="23" spans="32:32" ht="26.1" customHeight="1" x14ac:dyDescent="0.3">
      <c r="AF23" t="s">
        <v>282</v>
      </c>
    </row>
    <row r="24" spans="32:32" ht="26.1" customHeight="1" x14ac:dyDescent="0.3"/>
    <row r="25" spans="32:32" ht="26.1" customHeight="1" x14ac:dyDescent="0.3"/>
    <row r="26" spans="32:32" ht="26.1" customHeight="1" x14ac:dyDescent="0.3"/>
    <row r="27" spans="32:32" ht="26.1" customHeight="1" x14ac:dyDescent="0.3"/>
    <row r="28" spans="32:32" ht="26.1" customHeight="1" x14ac:dyDescent="0.3"/>
  </sheetData>
  <mergeCells count="33">
    <mergeCell ref="A1:N1"/>
    <mergeCell ref="O4:Q4"/>
    <mergeCell ref="O1:AH1"/>
    <mergeCell ref="AE3:AF3"/>
    <mergeCell ref="AG3:AH3"/>
    <mergeCell ref="AE2:AF2"/>
    <mergeCell ref="AG2:AH2"/>
    <mergeCell ref="AG4:AH4"/>
    <mergeCell ref="O3:Q3"/>
    <mergeCell ref="AE4:AF4"/>
    <mergeCell ref="R4:AD4"/>
    <mergeCell ref="A2:A11"/>
    <mergeCell ref="N2:N11"/>
    <mergeCell ref="B11:E11"/>
    <mergeCell ref="J2:M5"/>
    <mergeCell ref="J6:M6"/>
    <mergeCell ref="J7:M10"/>
    <mergeCell ref="F6:I6"/>
    <mergeCell ref="F7:I10"/>
    <mergeCell ref="F11:I11"/>
    <mergeCell ref="B2:E5"/>
    <mergeCell ref="B6:E6"/>
    <mergeCell ref="B7:E10"/>
    <mergeCell ref="J11:M11"/>
    <mergeCell ref="F2:I5"/>
    <mergeCell ref="O5:AH11"/>
    <mergeCell ref="V2:X2"/>
    <mergeCell ref="V3:X3"/>
    <mergeCell ref="R3:U3"/>
    <mergeCell ref="Y3:AD3"/>
    <mergeCell ref="O2:Q2"/>
    <mergeCell ref="R2:U2"/>
    <mergeCell ref="Y2:AD2"/>
  </mergeCells>
  <phoneticPr fontId="1" type="noConversion"/>
  <hyperlinks>
    <hyperlink ref="Y3" r:id="rId1" display="ggif@ggif"/>
  </hyperlinks>
  <pageMargins left="0.51181102362204722" right="0.51181102362204722" top="1.1023622047244095" bottom="0.39370078740157483" header="0.31496062992125984" footer="0.31496062992125984"/>
  <pageSetup paperSize="9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5:I19"/>
  <sheetViews>
    <sheetView workbookViewId="0">
      <selection activeCell="B6" sqref="B6"/>
    </sheetView>
  </sheetViews>
  <sheetFormatPr defaultRowHeight="16.5" x14ac:dyDescent="0.3"/>
  <cols>
    <col min="1" max="1" width="3" customWidth="1"/>
    <col min="3" max="3" width="10.875" customWidth="1"/>
    <col min="4" max="4" width="12.75" customWidth="1"/>
    <col min="5" max="5" width="12.25" customWidth="1"/>
    <col min="6" max="6" width="24.125" customWidth="1"/>
  </cols>
  <sheetData>
    <row r="5" spans="2:9" x14ac:dyDescent="0.3">
      <c r="B5" s="19" t="s">
        <v>249</v>
      </c>
      <c r="C5" s="19" t="s">
        <v>250</v>
      </c>
      <c r="D5" s="19" t="s">
        <v>251</v>
      </c>
      <c r="E5" s="19" t="s">
        <v>252</v>
      </c>
      <c r="F5" s="19" t="s">
        <v>253</v>
      </c>
      <c r="G5" s="19" t="s">
        <v>254</v>
      </c>
      <c r="H5" s="19" t="s">
        <v>255</v>
      </c>
      <c r="I5" s="19" t="s">
        <v>256</v>
      </c>
    </row>
    <row r="6" spans="2:9" x14ac:dyDescent="0.3">
      <c r="B6" s="21" t="s">
        <v>285</v>
      </c>
      <c r="C6" s="20" t="s">
        <v>302</v>
      </c>
      <c r="D6" s="20" t="s">
        <v>303</v>
      </c>
      <c r="E6" s="20" t="s">
        <v>286</v>
      </c>
      <c r="F6" s="20" t="s">
        <v>269</v>
      </c>
      <c r="G6" s="20" t="s">
        <v>287</v>
      </c>
      <c r="H6" s="20" t="s">
        <v>304</v>
      </c>
      <c r="I6" s="20" t="s">
        <v>288</v>
      </c>
    </row>
    <row r="7" spans="2:9" x14ac:dyDescent="0.3">
      <c r="B7" s="21" t="s">
        <v>297</v>
      </c>
      <c r="C7" s="20" t="s">
        <v>299</v>
      </c>
      <c r="D7" s="20" t="s">
        <v>289</v>
      </c>
      <c r="E7" s="20" t="s">
        <v>264</v>
      </c>
      <c r="F7" s="20" t="s">
        <v>300</v>
      </c>
      <c r="G7" s="20" t="s">
        <v>273</v>
      </c>
      <c r="H7" s="20" t="s">
        <v>301</v>
      </c>
      <c r="I7" s="20" t="s">
        <v>288</v>
      </c>
    </row>
    <row r="8" spans="2:9" x14ac:dyDescent="0.3">
      <c r="B8" s="21" t="s">
        <v>257</v>
      </c>
      <c r="C8" s="20" t="s">
        <v>291</v>
      </c>
      <c r="D8" s="20" t="s">
        <v>292</v>
      </c>
      <c r="E8" s="20" t="s">
        <v>265</v>
      </c>
      <c r="F8" s="20" t="s">
        <v>293</v>
      </c>
      <c r="G8" s="20" t="s">
        <v>287</v>
      </c>
      <c r="H8" s="20" t="s">
        <v>276</v>
      </c>
      <c r="I8" s="20" t="s">
        <v>296</v>
      </c>
    </row>
    <row r="9" spans="2:9" x14ac:dyDescent="0.3">
      <c r="B9" s="21" t="s">
        <v>258</v>
      </c>
      <c r="C9" s="20" t="s">
        <v>260</v>
      </c>
      <c r="D9" s="20" t="s">
        <v>262</v>
      </c>
      <c r="E9" s="20" t="s">
        <v>266</v>
      </c>
      <c r="F9" s="20" t="s">
        <v>270</v>
      </c>
      <c r="G9" s="20" t="s">
        <v>274</v>
      </c>
      <c r="H9" s="20" t="s">
        <v>275</v>
      </c>
      <c r="I9" s="20" t="s">
        <v>277</v>
      </c>
    </row>
    <row r="10" spans="2:9" x14ac:dyDescent="0.3">
      <c r="B10" s="21" t="s">
        <v>259</v>
      </c>
      <c r="C10" s="20" t="s">
        <v>261</v>
      </c>
      <c r="D10" s="20" t="s">
        <v>263</v>
      </c>
      <c r="E10" s="20" t="s">
        <v>267</v>
      </c>
      <c r="F10" s="20" t="s">
        <v>271</v>
      </c>
      <c r="G10" s="20" t="s">
        <v>272</v>
      </c>
      <c r="H10" s="20" t="s">
        <v>276</v>
      </c>
      <c r="I10" s="20" t="s">
        <v>277</v>
      </c>
    </row>
    <row r="11" spans="2:9" x14ac:dyDescent="0.3">
      <c r="B11" s="21" t="s">
        <v>305</v>
      </c>
      <c r="C11" s="20" t="s">
        <v>294</v>
      </c>
      <c r="D11" s="20" t="s">
        <v>295</v>
      </c>
      <c r="E11" s="20" t="s">
        <v>268</v>
      </c>
      <c r="F11" s="20" t="s">
        <v>306</v>
      </c>
      <c r="G11" s="20" t="s">
        <v>298</v>
      </c>
      <c r="H11" s="20" t="s">
        <v>290</v>
      </c>
      <c r="I11" s="20" t="s">
        <v>307</v>
      </c>
    </row>
    <row r="16" spans="2:9" x14ac:dyDescent="0.3">
      <c r="E16" s="18"/>
    </row>
    <row r="17" spans="5:5" x14ac:dyDescent="0.3">
      <c r="E17" s="18"/>
    </row>
    <row r="18" spans="5:5" x14ac:dyDescent="0.3">
      <c r="E18" s="18"/>
    </row>
    <row r="19" spans="5:5" x14ac:dyDescent="0.3">
      <c r="E19" s="1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5"/>
  <sheetViews>
    <sheetView workbookViewId="0">
      <selection activeCell="AC27" sqref="AC27:AR28"/>
    </sheetView>
  </sheetViews>
  <sheetFormatPr defaultRowHeight="12" x14ac:dyDescent="0.3"/>
  <cols>
    <col min="1" max="1" width="3.625" style="1" customWidth="1"/>
    <col min="2" max="2" width="4.625" style="1" customWidth="1"/>
    <col min="3" max="4" width="6.625" style="1" customWidth="1"/>
    <col min="5" max="5" width="3.625" style="1" customWidth="1"/>
    <col min="6" max="6" width="10.625" style="1" customWidth="1"/>
    <col min="7" max="7" width="16.625" style="1" customWidth="1"/>
    <col min="8" max="8" width="20.625" style="1" customWidth="1"/>
    <col min="9" max="9" width="10.625" style="1" customWidth="1"/>
    <col min="10" max="16" width="3.625" style="1" customWidth="1"/>
    <col min="17" max="18" width="6.625" style="1" customWidth="1"/>
    <col min="19" max="21" width="8.625" style="1" customWidth="1"/>
    <col min="22" max="16384" width="9" style="1"/>
  </cols>
  <sheetData>
    <row r="1" spans="1:22" x14ac:dyDescent="0.3">
      <c r="A1" s="61" t="s">
        <v>30</v>
      </c>
      <c r="B1" s="57" t="s">
        <v>31</v>
      </c>
      <c r="C1" s="57" t="s">
        <v>16</v>
      </c>
      <c r="D1" s="57" t="s">
        <v>1</v>
      </c>
      <c r="E1" s="57" t="s">
        <v>17</v>
      </c>
      <c r="F1" s="57" t="s">
        <v>3</v>
      </c>
      <c r="G1" s="57" t="s">
        <v>6</v>
      </c>
      <c r="H1" s="57" t="s">
        <v>18</v>
      </c>
      <c r="I1" s="57" t="s">
        <v>19</v>
      </c>
      <c r="J1" s="57" t="s">
        <v>20</v>
      </c>
      <c r="K1" s="57"/>
      <c r="L1" s="57"/>
      <c r="M1" s="57"/>
      <c r="N1" s="57"/>
      <c r="O1" s="57"/>
      <c r="P1" s="57"/>
      <c r="Q1" s="57" t="s">
        <v>27</v>
      </c>
      <c r="R1" s="57" t="s">
        <v>15</v>
      </c>
      <c r="S1" s="57" t="s">
        <v>28</v>
      </c>
      <c r="T1" s="57"/>
      <c r="U1" s="57"/>
      <c r="V1" s="59" t="s">
        <v>29</v>
      </c>
    </row>
    <row r="2" spans="1:22" x14ac:dyDescent="0.3">
      <c r="A2" s="62"/>
      <c r="B2" s="58"/>
      <c r="C2" s="58"/>
      <c r="D2" s="58"/>
      <c r="E2" s="58"/>
      <c r="F2" s="58"/>
      <c r="G2" s="58"/>
      <c r="H2" s="58"/>
      <c r="I2" s="58"/>
      <c r="J2" s="2" t="s">
        <v>21</v>
      </c>
      <c r="K2" s="2" t="s">
        <v>22</v>
      </c>
      <c r="L2" s="2" t="s">
        <v>7</v>
      </c>
      <c r="M2" s="2" t="s">
        <v>23</v>
      </c>
      <c r="N2" s="2" t="s">
        <v>24</v>
      </c>
      <c r="O2" s="2" t="s">
        <v>25</v>
      </c>
      <c r="P2" s="2" t="s">
        <v>26</v>
      </c>
      <c r="Q2" s="58"/>
      <c r="R2" s="58"/>
      <c r="S2" s="58"/>
      <c r="T2" s="58"/>
      <c r="U2" s="58"/>
      <c r="V2" s="60"/>
    </row>
    <row r="3" spans="1:22" x14ac:dyDescent="0.3">
      <c r="A3" s="3">
        <v>1</v>
      </c>
      <c r="B3" s="4" t="s">
        <v>215</v>
      </c>
      <c r="C3" s="4" t="s">
        <v>232</v>
      </c>
      <c r="D3" s="4" t="s">
        <v>216</v>
      </c>
      <c r="E3" s="4" t="s">
        <v>233</v>
      </c>
      <c r="F3" s="4" t="s">
        <v>234</v>
      </c>
      <c r="G3" s="4" t="s">
        <v>235</v>
      </c>
      <c r="H3" s="4" t="s">
        <v>228</v>
      </c>
      <c r="I3" s="4" t="s">
        <v>229</v>
      </c>
      <c r="J3" s="4"/>
      <c r="K3" s="4"/>
      <c r="L3" s="4"/>
      <c r="M3" s="4"/>
      <c r="N3" s="4"/>
      <c r="O3" s="4"/>
      <c r="P3" s="4"/>
      <c r="Q3" s="4"/>
      <c r="R3" s="4" t="s">
        <v>230</v>
      </c>
      <c r="S3" s="4"/>
      <c r="T3" s="4"/>
      <c r="U3" s="4"/>
      <c r="V3" s="5" t="s">
        <v>231</v>
      </c>
    </row>
    <row r="4" spans="1:22" x14ac:dyDescent="0.3">
      <c r="A4" s="3">
        <v>2</v>
      </c>
      <c r="B4" s="4" t="s">
        <v>215</v>
      </c>
      <c r="C4" s="4" t="s">
        <v>69</v>
      </c>
      <c r="D4" s="4" t="s">
        <v>46</v>
      </c>
      <c r="E4" s="4" t="s">
        <v>34</v>
      </c>
      <c r="F4" s="4" t="s">
        <v>91</v>
      </c>
      <c r="G4" s="4"/>
      <c r="H4" s="4" t="s">
        <v>152</v>
      </c>
      <c r="I4" s="4" t="s">
        <v>132</v>
      </c>
      <c r="J4" s="4"/>
      <c r="K4" s="4"/>
      <c r="L4" s="4"/>
      <c r="M4" s="4"/>
      <c r="N4" s="4"/>
      <c r="O4" s="4"/>
      <c r="P4" s="4"/>
      <c r="Q4" s="4"/>
      <c r="R4" s="4" t="s">
        <v>173</v>
      </c>
      <c r="S4" s="4"/>
      <c r="T4" s="4"/>
      <c r="U4" s="4"/>
      <c r="V4" s="5" t="s">
        <v>174</v>
      </c>
    </row>
    <row r="5" spans="1:22" x14ac:dyDescent="0.3">
      <c r="A5" s="3">
        <v>3</v>
      </c>
      <c r="B5" s="4" t="s">
        <v>215</v>
      </c>
      <c r="C5" s="4" t="s">
        <v>70</v>
      </c>
      <c r="D5" s="4" t="s">
        <v>47</v>
      </c>
      <c r="E5" s="4" t="s">
        <v>34</v>
      </c>
      <c r="F5" s="4" t="s">
        <v>92</v>
      </c>
      <c r="G5" s="4" t="s">
        <v>112</v>
      </c>
      <c r="H5" s="4" t="s">
        <v>153</v>
      </c>
      <c r="I5" s="4" t="s">
        <v>133</v>
      </c>
      <c r="J5" s="4"/>
      <c r="K5" s="4"/>
      <c r="L5" s="4"/>
      <c r="M5" s="4"/>
      <c r="N5" s="4"/>
      <c r="O5" s="4"/>
      <c r="P5" s="4"/>
      <c r="Q5" s="4"/>
      <c r="R5" s="4" t="s">
        <v>173</v>
      </c>
      <c r="S5" s="4"/>
      <c r="T5" s="4"/>
      <c r="U5" s="4"/>
      <c r="V5" s="5" t="s">
        <v>33</v>
      </c>
    </row>
    <row r="6" spans="1:22" x14ac:dyDescent="0.3">
      <c r="A6" s="3">
        <v>4</v>
      </c>
      <c r="B6" s="4" t="s">
        <v>215</v>
      </c>
      <c r="C6" s="4" t="s">
        <v>71</v>
      </c>
      <c r="D6" s="4" t="s">
        <v>48</v>
      </c>
      <c r="E6" s="4" t="s">
        <v>35</v>
      </c>
      <c r="F6" s="4" t="s">
        <v>93</v>
      </c>
      <c r="G6" s="4" t="s">
        <v>113</v>
      </c>
      <c r="H6" s="4" t="s">
        <v>154</v>
      </c>
      <c r="I6" s="4" t="s">
        <v>134</v>
      </c>
      <c r="J6" s="4"/>
      <c r="K6" s="4"/>
      <c r="L6" s="4"/>
      <c r="M6" s="4"/>
      <c r="N6" s="4"/>
      <c r="O6" s="4"/>
      <c r="P6" s="4"/>
      <c r="Q6" s="4"/>
      <c r="R6" s="4" t="s">
        <v>32</v>
      </c>
      <c r="S6" s="4"/>
      <c r="T6" s="4"/>
      <c r="U6" s="4"/>
      <c r="V6" s="5" t="s">
        <v>33</v>
      </c>
    </row>
    <row r="7" spans="1:22" x14ac:dyDescent="0.3">
      <c r="A7" s="3">
        <v>5</v>
      </c>
      <c r="B7" s="4" t="s">
        <v>215</v>
      </c>
      <c r="C7" s="4" t="s">
        <v>72</v>
      </c>
      <c r="D7" s="4" t="s">
        <v>49</v>
      </c>
      <c r="E7" s="4" t="s">
        <v>36</v>
      </c>
      <c r="F7" s="4" t="s">
        <v>94</v>
      </c>
      <c r="G7" s="4" t="s">
        <v>114</v>
      </c>
      <c r="H7" s="4" t="s">
        <v>155</v>
      </c>
      <c r="I7" s="4" t="s">
        <v>135</v>
      </c>
      <c r="J7" s="4"/>
      <c r="K7" s="4"/>
      <c r="L7" s="4"/>
      <c r="M7" s="4"/>
      <c r="N7" s="4"/>
      <c r="O7" s="4"/>
      <c r="P7" s="4"/>
      <c r="Q7" s="4"/>
      <c r="R7" s="4" t="s">
        <v>173</v>
      </c>
      <c r="S7" s="4"/>
      <c r="T7" s="4"/>
      <c r="U7" s="4"/>
      <c r="V7" s="5" t="s">
        <v>175</v>
      </c>
    </row>
    <row r="8" spans="1:22" x14ac:dyDescent="0.3">
      <c r="A8" s="3">
        <v>6</v>
      </c>
      <c r="B8" s="4" t="s">
        <v>215</v>
      </c>
      <c r="C8" s="4" t="s">
        <v>73</v>
      </c>
      <c r="D8" s="4" t="s">
        <v>50</v>
      </c>
      <c r="E8" s="4" t="s">
        <v>36</v>
      </c>
      <c r="F8" s="4" t="s">
        <v>95</v>
      </c>
      <c r="G8" s="4" t="s">
        <v>115</v>
      </c>
      <c r="H8" s="4" t="s">
        <v>156</v>
      </c>
      <c r="I8" s="4" t="s">
        <v>136</v>
      </c>
      <c r="J8" s="4"/>
      <c r="K8" s="4"/>
      <c r="L8" s="4"/>
      <c r="M8" s="4"/>
      <c r="N8" s="4"/>
      <c r="O8" s="4"/>
      <c r="P8" s="4"/>
      <c r="Q8" s="4"/>
      <c r="R8" s="4" t="s">
        <v>32</v>
      </c>
      <c r="S8" s="4"/>
      <c r="T8" s="4"/>
      <c r="U8" s="4"/>
      <c r="V8" s="5" t="s">
        <v>33</v>
      </c>
    </row>
    <row r="9" spans="1:22" x14ac:dyDescent="0.3">
      <c r="A9" s="3">
        <v>7</v>
      </c>
      <c r="B9" s="4" t="s">
        <v>215</v>
      </c>
      <c r="C9" s="4" t="s">
        <v>74</v>
      </c>
      <c r="D9" s="4" t="s">
        <v>51</v>
      </c>
      <c r="E9" s="4" t="s">
        <v>37</v>
      </c>
      <c r="F9" s="4" t="s">
        <v>96</v>
      </c>
      <c r="G9" s="4" t="s">
        <v>116</v>
      </c>
      <c r="H9" s="4" t="s">
        <v>157</v>
      </c>
      <c r="I9" s="4" t="s">
        <v>137</v>
      </c>
      <c r="J9" s="4"/>
      <c r="K9" s="4"/>
      <c r="L9" s="4"/>
      <c r="M9" s="4"/>
      <c r="N9" s="4"/>
      <c r="O9" s="4"/>
      <c r="P9" s="4"/>
      <c r="Q9" s="4"/>
      <c r="R9" s="4" t="s">
        <v>32</v>
      </c>
      <c r="S9" s="4"/>
      <c r="T9" s="4"/>
      <c r="U9" s="4"/>
      <c r="V9" s="5" t="s">
        <v>176</v>
      </c>
    </row>
    <row r="10" spans="1:22" x14ac:dyDescent="0.3">
      <c r="A10" s="3">
        <v>8</v>
      </c>
      <c r="B10" s="4" t="s">
        <v>215</v>
      </c>
      <c r="C10" s="4" t="s">
        <v>75</v>
      </c>
      <c r="D10" s="4" t="s">
        <v>52</v>
      </c>
      <c r="E10" s="4" t="s">
        <v>38</v>
      </c>
      <c r="F10" s="4" t="s">
        <v>97</v>
      </c>
      <c r="G10" s="4" t="s">
        <v>117</v>
      </c>
      <c r="H10" s="4" t="s">
        <v>158</v>
      </c>
      <c r="I10" s="4" t="s">
        <v>138</v>
      </c>
      <c r="J10" s="4"/>
      <c r="K10" s="4"/>
      <c r="L10" s="4"/>
      <c r="M10" s="4"/>
      <c r="N10" s="4"/>
      <c r="O10" s="4"/>
      <c r="P10" s="4"/>
      <c r="Q10" s="4"/>
      <c r="R10" s="4" t="s">
        <v>173</v>
      </c>
      <c r="S10" s="4"/>
      <c r="T10" s="4"/>
      <c r="U10" s="4"/>
      <c r="V10" s="5" t="s">
        <v>177</v>
      </c>
    </row>
    <row r="11" spans="1:22" x14ac:dyDescent="0.3">
      <c r="A11" s="3">
        <v>9</v>
      </c>
      <c r="B11" s="4" t="s">
        <v>215</v>
      </c>
      <c r="C11" s="4" t="s">
        <v>76</v>
      </c>
      <c r="D11" s="4" t="s">
        <v>53</v>
      </c>
      <c r="E11" s="4" t="s">
        <v>39</v>
      </c>
      <c r="F11" s="4" t="s">
        <v>98</v>
      </c>
      <c r="G11" s="4" t="s">
        <v>118</v>
      </c>
      <c r="H11" s="4" t="s">
        <v>159</v>
      </c>
      <c r="I11" s="4" t="s">
        <v>139</v>
      </c>
      <c r="J11" s="4"/>
      <c r="K11" s="4"/>
      <c r="L11" s="4"/>
      <c r="M11" s="4"/>
      <c r="N11" s="4"/>
      <c r="O11" s="4"/>
      <c r="P11" s="4"/>
      <c r="Q11" s="4"/>
      <c r="R11" s="4" t="s">
        <v>173</v>
      </c>
      <c r="S11" s="4"/>
      <c r="T11" s="4"/>
      <c r="U11" s="4"/>
      <c r="V11" s="5" t="s">
        <v>33</v>
      </c>
    </row>
    <row r="12" spans="1:22" x14ac:dyDescent="0.3">
      <c r="A12" s="3">
        <v>10</v>
      </c>
      <c r="B12" s="4" t="s">
        <v>215</v>
      </c>
      <c r="C12" s="4" t="s">
        <v>77</v>
      </c>
      <c r="D12" s="4" t="s">
        <v>54</v>
      </c>
      <c r="E12" s="4" t="s">
        <v>40</v>
      </c>
      <c r="F12" s="4" t="s">
        <v>99</v>
      </c>
      <c r="G12" s="4" t="s">
        <v>119</v>
      </c>
      <c r="H12" s="4" t="s">
        <v>160</v>
      </c>
      <c r="I12" s="4" t="s">
        <v>140</v>
      </c>
      <c r="J12" s="4"/>
      <c r="K12" s="4"/>
      <c r="L12" s="4"/>
      <c r="M12" s="4"/>
      <c r="N12" s="4"/>
      <c r="O12" s="4"/>
      <c r="P12" s="4"/>
      <c r="Q12" s="4"/>
      <c r="R12" s="4" t="s">
        <v>32</v>
      </c>
      <c r="S12" s="4"/>
      <c r="T12" s="4"/>
      <c r="U12" s="4"/>
      <c r="V12" s="5" t="s">
        <v>174</v>
      </c>
    </row>
    <row r="13" spans="1:22" x14ac:dyDescent="0.3">
      <c r="A13" s="3">
        <v>11</v>
      </c>
      <c r="B13" s="4" t="s">
        <v>215</v>
      </c>
      <c r="C13" s="4" t="s">
        <v>78</v>
      </c>
      <c r="D13" s="4" t="s">
        <v>55</v>
      </c>
      <c r="E13" s="4" t="s">
        <v>38</v>
      </c>
      <c r="F13" s="4" t="s">
        <v>100</v>
      </c>
      <c r="G13" s="4" t="s">
        <v>120</v>
      </c>
      <c r="H13" s="4" t="s">
        <v>161</v>
      </c>
      <c r="I13" s="4" t="s">
        <v>141</v>
      </c>
      <c r="J13" s="4"/>
      <c r="K13" s="4"/>
      <c r="L13" s="4"/>
      <c r="M13" s="4"/>
      <c r="N13" s="4"/>
      <c r="O13" s="4"/>
      <c r="P13" s="4"/>
      <c r="Q13" s="4"/>
      <c r="R13" s="4" t="s">
        <v>32</v>
      </c>
      <c r="S13" s="4"/>
      <c r="T13" s="4"/>
      <c r="U13" s="4"/>
      <c r="V13" s="5" t="s">
        <v>33</v>
      </c>
    </row>
    <row r="14" spans="1:22" x14ac:dyDescent="0.3">
      <c r="A14" s="3">
        <v>12</v>
      </c>
      <c r="B14" s="4" t="s">
        <v>215</v>
      </c>
      <c r="C14" s="4" t="s">
        <v>79</v>
      </c>
      <c r="D14" s="4" t="s">
        <v>56</v>
      </c>
      <c r="E14" s="4" t="s">
        <v>41</v>
      </c>
      <c r="F14" s="4" t="s">
        <v>101</v>
      </c>
      <c r="G14" s="4" t="s">
        <v>121</v>
      </c>
      <c r="H14" s="4" t="s">
        <v>162</v>
      </c>
      <c r="I14" s="4" t="s">
        <v>142</v>
      </c>
      <c r="J14" s="4"/>
      <c r="K14" s="4"/>
      <c r="L14" s="4"/>
      <c r="M14" s="4"/>
      <c r="N14" s="4"/>
      <c r="O14" s="4"/>
      <c r="P14" s="4"/>
      <c r="Q14" s="4"/>
      <c r="R14" s="4" t="s">
        <v>32</v>
      </c>
      <c r="S14" s="4"/>
      <c r="T14" s="4"/>
      <c r="U14" s="4"/>
      <c r="V14" s="5" t="s">
        <v>33</v>
      </c>
    </row>
    <row r="15" spans="1:22" x14ac:dyDescent="0.3">
      <c r="A15" s="3">
        <v>13</v>
      </c>
      <c r="B15" s="4" t="s">
        <v>218</v>
      </c>
      <c r="C15" s="4" t="s">
        <v>80</v>
      </c>
      <c r="D15" s="4" t="s">
        <v>57</v>
      </c>
      <c r="E15" s="4" t="s">
        <v>42</v>
      </c>
      <c r="F15" s="4" t="s">
        <v>102</v>
      </c>
      <c r="G15" s="4" t="s">
        <v>122</v>
      </c>
      <c r="H15" s="4" t="s">
        <v>163</v>
      </c>
      <c r="I15" s="4" t="s">
        <v>143</v>
      </c>
      <c r="J15" s="4"/>
      <c r="K15" s="4"/>
      <c r="L15" s="4"/>
      <c r="M15" s="4"/>
      <c r="N15" s="4"/>
      <c r="O15" s="4"/>
      <c r="P15" s="4"/>
      <c r="Q15" s="4"/>
      <c r="R15" s="4" t="s">
        <v>173</v>
      </c>
      <c r="S15" s="4"/>
      <c r="T15" s="4"/>
      <c r="U15" s="4"/>
      <c r="V15" s="5" t="s">
        <v>33</v>
      </c>
    </row>
    <row r="16" spans="1:22" x14ac:dyDescent="0.3">
      <c r="A16" s="3">
        <v>14</v>
      </c>
      <c r="B16" s="4" t="s">
        <v>218</v>
      </c>
      <c r="C16" s="4" t="s">
        <v>81</v>
      </c>
      <c r="D16" s="4" t="s">
        <v>58</v>
      </c>
      <c r="E16" s="4" t="s">
        <v>41</v>
      </c>
      <c r="F16" s="4" t="s">
        <v>103</v>
      </c>
      <c r="G16" s="4" t="s">
        <v>123</v>
      </c>
      <c r="H16" s="4" t="s">
        <v>164</v>
      </c>
      <c r="I16" s="4" t="s">
        <v>144</v>
      </c>
      <c r="J16" s="4"/>
      <c r="K16" s="4"/>
      <c r="L16" s="4"/>
      <c r="M16" s="4"/>
      <c r="N16" s="4"/>
      <c r="O16" s="4"/>
      <c r="P16" s="4"/>
      <c r="Q16" s="4"/>
      <c r="R16" s="4" t="s">
        <v>32</v>
      </c>
      <c r="S16" s="4"/>
      <c r="T16" s="4"/>
      <c r="U16" s="4"/>
      <c r="V16" s="5" t="s">
        <v>178</v>
      </c>
    </row>
    <row r="17" spans="1:22" x14ac:dyDescent="0.3">
      <c r="A17" s="3">
        <v>15</v>
      </c>
      <c r="B17" s="4" t="s">
        <v>218</v>
      </c>
      <c r="C17" s="4" t="s">
        <v>82</v>
      </c>
      <c r="D17" s="4" t="s">
        <v>59</v>
      </c>
      <c r="E17" s="4" t="s">
        <v>43</v>
      </c>
      <c r="F17" s="4" t="s">
        <v>104</v>
      </c>
      <c r="G17" s="4" t="s">
        <v>124</v>
      </c>
      <c r="H17" s="4" t="s">
        <v>165</v>
      </c>
      <c r="I17" s="4" t="s">
        <v>145</v>
      </c>
      <c r="J17" s="4"/>
      <c r="K17" s="4"/>
      <c r="L17" s="4"/>
      <c r="M17" s="4"/>
      <c r="N17" s="4"/>
      <c r="O17" s="4"/>
      <c r="P17" s="4"/>
      <c r="Q17" s="4"/>
      <c r="R17" s="4" t="s">
        <v>32</v>
      </c>
      <c r="S17" s="4"/>
      <c r="T17" s="4"/>
      <c r="U17" s="4"/>
      <c r="V17" s="5" t="s">
        <v>174</v>
      </c>
    </row>
    <row r="18" spans="1:22" x14ac:dyDescent="0.3">
      <c r="A18" s="3">
        <v>16</v>
      </c>
      <c r="B18" s="4" t="s">
        <v>218</v>
      </c>
      <c r="C18" s="4" t="s">
        <v>83</v>
      </c>
      <c r="D18" s="4" t="s">
        <v>60</v>
      </c>
      <c r="E18" s="4" t="s">
        <v>44</v>
      </c>
      <c r="F18" s="4" t="s">
        <v>105</v>
      </c>
      <c r="G18" s="4" t="s">
        <v>125</v>
      </c>
      <c r="H18" s="4" t="s">
        <v>166</v>
      </c>
      <c r="I18" s="4" t="s">
        <v>146</v>
      </c>
      <c r="J18" s="4"/>
      <c r="K18" s="4"/>
      <c r="L18" s="4"/>
      <c r="M18" s="4"/>
      <c r="N18" s="4"/>
      <c r="O18" s="4"/>
      <c r="P18" s="4"/>
      <c r="Q18" s="4"/>
      <c r="R18" s="4" t="s">
        <v>32</v>
      </c>
      <c r="S18" s="4"/>
      <c r="T18" s="4"/>
      <c r="U18" s="4"/>
      <c r="V18" s="5" t="s">
        <v>179</v>
      </c>
    </row>
    <row r="19" spans="1:22" x14ac:dyDescent="0.3">
      <c r="A19" s="3">
        <v>17</v>
      </c>
      <c r="B19" s="4" t="s">
        <v>218</v>
      </c>
      <c r="C19" s="4" t="s">
        <v>84</v>
      </c>
      <c r="D19" s="4" t="s">
        <v>61</v>
      </c>
      <c r="E19" s="4" t="s">
        <v>45</v>
      </c>
      <c r="F19" s="4" t="s">
        <v>106</v>
      </c>
      <c r="G19" s="4" t="s">
        <v>126</v>
      </c>
      <c r="H19" s="4" t="s">
        <v>167</v>
      </c>
      <c r="I19" s="4" t="s">
        <v>147</v>
      </c>
      <c r="J19" s="4"/>
      <c r="K19" s="4"/>
      <c r="L19" s="4"/>
      <c r="M19" s="4"/>
      <c r="N19" s="4"/>
      <c r="O19" s="4"/>
      <c r="P19" s="4"/>
      <c r="Q19" s="4"/>
      <c r="R19" s="4" t="s">
        <v>173</v>
      </c>
      <c r="S19" s="4"/>
      <c r="T19" s="4"/>
      <c r="U19" s="4"/>
      <c r="V19" s="5" t="s">
        <v>33</v>
      </c>
    </row>
    <row r="20" spans="1:22" x14ac:dyDescent="0.3">
      <c r="A20" s="3">
        <v>18</v>
      </c>
      <c r="B20" s="4" t="s">
        <v>215</v>
      </c>
      <c r="C20" s="4" t="s">
        <v>224</v>
      </c>
      <c r="D20" s="4" t="s">
        <v>62</v>
      </c>
      <c r="E20" s="4" t="s">
        <v>220</v>
      </c>
      <c r="F20" s="4" t="s">
        <v>236</v>
      </c>
      <c r="G20" s="4" t="s">
        <v>217</v>
      </c>
      <c r="H20" s="4" t="s">
        <v>221</v>
      </c>
      <c r="I20" s="4" t="s">
        <v>225</v>
      </c>
      <c r="J20" s="4"/>
      <c r="K20" s="4">
        <v>1</v>
      </c>
      <c r="L20" s="4">
        <v>1</v>
      </c>
      <c r="M20" s="4">
        <v>2</v>
      </c>
      <c r="N20" s="4"/>
      <c r="O20" s="4">
        <v>1</v>
      </c>
      <c r="P20" s="4">
        <v>1</v>
      </c>
      <c r="Q20" s="4" t="s">
        <v>237</v>
      </c>
      <c r="R20" s="4" t="s">
        <v>226</v>
      </c>
      <c r="S20" s="4"/>
      <c r="T20" s="4"/>
      <c r="U20" s="4"/>
      <c r="V20" s="5" t="s">
        <v>227</v>
      </c>
    </row>
    <row r="21" spans="1:22" x14ac:dyDescent="0.3">
      <c r="A21" s="3">
        <v>19</v>
      </c>
      <c r="B21" s="4" t="s">
        <v>218</v>
      </c>
      <c r="C21" s="4" t="s">
        <v>86</v>
      </c>
      <c r="D21" s="4" t="s">
        <v>63</v>
      </c>
      <c r="E21" s="4" t="s">
        <v>45</v>
      </c>
      <c r="F21" s="4" t="s">
        <v>107</v>
      </c>
      <c r="G21" s="4" t="s">
        <v>127</v>
      </c>
      <c r="H21" s="4" t="s">
        <v>168</v>
      </c>
      <c r="I21" s="4" t="s">
        <v>132</v>
      </c>
      <c r="J21" s="4"/>
      <c r="K21" s="4"/>
      <c r="L21" s="4"/>
      <c r="M21" s="4"/>
      <c r="N21" s="4"/>
      <c r="O21" s="4"/>
      <c r="P21" s="4"/>
      <c r="Q21" s="4"/>
      <c r="R21" s="4" t="s">
        <v>32</v>
      </c>
      <c r="S21" s="4"/>
      <c r="T21" s="4"/>
      <c r="U21" s="4"/>
      <c r="V21" s="5" t="s">
        <v>180</v>
      </c>
    </row>
    <row r="22" spans="1:22" x14ac:dyDescent="0.3">
      <c r="A22" s="3">
        <v>20</v>
      </c>
      <c r="B22" s="4" t="s">
        <v>218</v>
      </c>
      <c r="C22" s="4" t="s">
        <v>87</v>
      </c>
      <c r="D22" s="4" t="s">
        <v>64</v>
      </c>
      <c r="E22" s="4" t="s">
        <v>41</v>
      </c>
      <c r="F22" s="4" t="s">
        <v>108</v>
      </c>
      <c r="G22" s="4" t="s">
        <v>128</v>
      </c>
      <c r="H22" s="4" t="s">
        <v>169</v>
      </c>
      <c r="I22" s="4" t="s">
        <v>148</v>
      </c>
      <c r="J22" s="4"/>
      <c r="K22" s="4"/>
      <c r="L22" s="4"/>
      <c r="M22" s="4"/>
      <c r="N22" s="4"/>
      <c r="O22" s="4"/>
      <c r="P22" s="4"/>
      <c r="Q22" s="4"/>
      <c r="R22" s="4" t="s">
        <v>32</v>
      </c>
      <c r="S22" s="4"/>
      <c r="T22" s="4"/>
      <c r="U22" s="4"/>
      <c r="V22" s="5" t="s">
        <v>33</v>
      </c>
    </row>
    <row r="23" spans="1:22" x14ac:dyDescent="0.3">
      <c r="A23" s="3">
        <v>21</v>
      </c>
      <c r="B23" s="4" t="s">
        <v>218</v>
      </c>
      <c r="C23" s="4" t="s">
        <v>88</v>
      </c>
      <c r="D23" s="4" t="s">
        <v>65</v>
      </c>
      <c r="E23" s="4" t="s">
        <v>43</v>
      </c>
      <c r="F23" s="4" t="s">
        <v>109</v>
      </c>
      <c r="G23" s="4" t="s">
        <v>129</v>
      </c>
      <c r="H23" s="4" t="s">
        <v>170</v>
      </c>
      <c r="I23" s="4" t="s">
        <v>149</v>
      </c>
      <c r="J23" s="4"/>
      <c r="K23" s="4"/>
      <c r="L23" s="4"/>
      <c r="M23" s="4"/>
      <c r="N23" s="4"/>
      <c r="O23" s="4"/>
      <c r="P23" s="4"/>
      <c r="Q23" s="4"/>
      <c r="R23" s="4" t="s">
        <v>32</v>
      </c>
      <c r="S23" s="4"/>
      <c r="T23" s="4"/>
      <c r="U23" s="4"/>
      <c r="V23" s="5" t="s">
        <v>33</v>
      </c>
    </row>
    <row r="24" spans="1:22" x14ac:dyDescent="0.3">
      <c r="A24" s="3">
        <v>22</v>
      </c>
      <c r="B24" s="4" t="s">
        <v>218</v>
      </c>
      <c r="C24" s="4" t="s">
        <v>89</v>
      </c>
      <c r="D24" s="4" t="s">
        <v>66</v>
      </c>
      <c r="E24" s="4" t="s">
        <v>42</v>
      </c>
      <c r="F24" s="4" t="s">
        <v>110</v>
      </c>
      <c r="G24" s="4" t="s">
        <v>130</v>
      </c>
      <c r="H24" s="4" t="s">
        <v>171</v>
      </c>
      <c r="I24" s="4" t="s">
        <v>150</v>
      </c>
      <c r="J24" s="4"/>
      <c r="K24" s="4"/>
      <c r="L24" s="4"/>
      <c r="M24" s="4"/>
      <c r="N24" s="4"/>
      <c r="O24" s="4"/>
      <c r="P24" s="4"/>
      <c r="Q24" s="4"/>
      <c r="R24" s="4" t="s">
        <v>173</v>
      </c>
      <c r="S24" s="4"/>
      <c r="T24" s="4"/>
      <c r="U24" s="4"/>
      <c r="V24" s="8" t="s">
        <v>181</v>
      </c>
    </row>
    <row r="25" spans="1:22" x14ac:dyDescent="0.3">
      <c r="A25" s="6">
        <v>23</v>
      </c>
      <c r="B25" s="4" t="s">
        <v>218</v>
      </c>
      <c r="C25" s="7" t="s">
        <v>90</v>
      </c>
      <c r="D25" s="7" t="s">
        <v>67</v>
      </c>
      <c r="E25" s="7" t="s">
        <v>41</v>
      </c>
      <c r="F25" s="7" t="s">
        <v>111</v>
      </c>
      <c r="G25" s="7" t="s">
        <v>131</v>
      </c>
      <c r="H25" s="7" t="s">
        <v>172</v>
      </c>
      <c r="I25" s="7" t="s">
        <v>151</v>
      </c>
      <c r="J25" s="7"/>
      <c r="K25" s="7"/>
      <c r="L25" s="7"/>
      <c r="M25" s="7"/>
      <c r="N25" s="7"/>
      <c r="O25" s="7"/>
      <c r="P25" s="7"/>
      <c r="Q25" s="7"/>
      <c r="R25" s="7" t="s">
        <v>173</v>
      </c>
      <c r="S25" s="7"/>
      <c r="T25" s="7"/>
      <c r="U25" s="7"/>
      <c r="V25" s="1" t="s">
        <v>177</v>
      </c>
    </row>
  </sheetData>
  <mergeCells count="14">
    <mergeCell ref="Q1:Q2"/>
    <mergeCell ref="R1:R2"/>
    <mergeCell ref="V1:V2"/>
    <mergeCell ref="A1:A2"/>
    <mergeCell ref="B1:B2"/>
    <mergeCell ref="J1:P1"/>
    <mergeCell ref="C1:C2"/>
    <mergeCell ref="D1:D2"/>
    <mergeCell ref="E1:E2"/>
    <mergeCell ref="F1:F2"/>
    <mergeCell ref="G1:G2"/>
    <mergeCell ref="H1:H2"/>
    <mergeCell ref="I1:I2"/>
    <mergeCell ref="S1:U2"/>
  </mergeCells>
  <phoneticPr fontId="1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25"/>
  <sheetViews>
    <sheetView workbookViewId="0">
      <selection activeCell="AC27" sqref="AC27:AR28"/>
    </sheetView>
  </sheetViews>
  <sheetFormatPr defaultRowHeight="16.5" x14ac:dyDescent="0.3"/>
  <cols>
    <col min="1" max="1" width="4.375" style="16" customWidth="1"/>
    <col min="2" max="16384" width="9" style="16"/>
  </cols>
  <sheetData>
    <row r="1" spans="1:30" x14ac:dyDescent="0.3">
      <c r="A1" s="61" t="s">
        <v>30</v>
      </c>
      <c r="B1" s="57" t="s">
        <v>14</v>
      </c>
      <c r="C1" s="64" t="s">
        <v>182</v>
      </c>
      <c r="D1" s="63" t="s">
        <v>183</v>
      </c>
      <c r="E1" s="63"/>
      <c r="F1" s="63"/>
      <c r="G1" s="63" t="s">
        <v>187</v>
      </c>
      <c r="H1" s="63"/>
      <c r="I1" s="63"/>
      <c r="J1" s="63"/>
      <c r="K1" s="63"/>
      <c r="L1" s="63"/>
      <c r="M1" s="63"/>
      <c r="N1" s="63"/>
      <c r="O1" s="63" t="s">
        <v>192</v>
      </c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</row>
    <row r="2" spans="1:30" x14ac:dyDescent="0.3">
      <c r="A2" s="62"/>
      <c r="B2" s="58"/>
      <c r="C2" s="64"/>
      <c r="D2" s="17" t="s">
        <v>184</v>
      </c>
      <c r="E2" s="17" t="s">
        <v>185</v>
      </c>
      <c r="F2" s="17" t="s">
        <v>186</v>
      </c>
      <c r="G2" s="17" t="s">
        <v>188</v>
      </c>
      <c r="H2" s="17" t="s">
        <v>189</v>
      </c>
      <c r="I2" s="17" t="s">
        <v>190</v>
      </c>
      <c r="J2" s="17" t="s">
        <v>191</v>
      </c>
      <c r="K2" s="17" t="s">
        <v>188</v>
      </c>
      <c r="L2" s="17" t="s">
        <v>189</v>
      </c>
      <c r="M2" s="17" t="s">
        <v>190</v>
      </c>
      <c r="N2" s="17" t="s">
        <v>191</v>
      </c>
      <c r="O2" s="17" t="s">
        <v>193</v>
      </c>
      <c r="P2" s="17" t="s">
        <v>194</v>
      </c>
      <c r="Q2" s="17" t="s">
        <v>12</v>
      </c>
      <c r="R2" s="17" t="s">
        <v>11</v>
      </c>
      <c r="S2" s="17" t="s">
        <v>193</v>
      </c>
      <c r="T2" s="17" t="s">
        <v>194</v>
      </c>
      <c r="U2" s="17" t="s">
        <v>12</v>
      </c>
      <c r="V2" s="17" t="s">
        <v>11</v>
      </c>
      <c r="W2" s="17" t="s">
        <v>193</v>
      </c>
      <c r="X2" s="17" t="s">
        <v>194</v>
      </c>
      <c r="Y2" s="17" t="s">
        <v>12</v>
      </c>
      <c r="Z2" s="17" t="s">
        <v>11</v>
      </c>
      <c r="AA2" s="17" t="s">
        <v>193</v>
      </c>
      <c r="AB2" s="17" t="s">
        <v>194</v>
      </c>
      <c r="AC2" s="17" t="s">
        <v>12</v>
      </c>
      <c r="AD2" s="17" t="s">
        <v>11</v>
      </c>
    </row>
    <row r="3" spans="1:30" x14ac:dyDescent="0.3">
      <c r="A3" s="3">
        <v>1</v>
      </c>
      <c r="B3" s="4" t="s">
        <v>68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</row>
    <row r="4" spans="1:30" x14ac:dyDescent="0.3">
      <c r="A4" s="3">
        <v>2</v>
      </c>
      <c r="B4" s="4" t="s">
        <v>69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</row>
    <row r="5" spans="1:30" x14ac:dyDescent="0.3">
      <c r="A5" s="3">
        <v>3</v>
      </c>
      <c r="B5" s="4" t="s">
        <v>70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</row>
    <row r="6" spans="1:30" x14ac:dyDescent="0.3">
      <c r="A6" s="3">
        <v>4</v>
      </c>
      <c r="B6" s="4" t="s">
        <v>71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</row>
    <row r="7" spans="1:30" x14ac:dyDescent="0.3">
      <c r="A7" s="3">
        <v>5</v>
      </c>
      <c r="B7" s="4" t="s">
        <v>72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</row>
    <row r="8" spans="1:30" x14ac:dyDescent="0.3">
      <c r="A8" s="3">
        <v>6</v>
      </c>
      <c r="B8" s="4" t="s">
        <v>73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</row>
    <row r="9" spans="1:30" x14ac:dyDescent="0.3">
      <c r="A9" s="3">
        <v>7</v>
      </c>
      <c r="B9" s="4" t="s">
        <v>74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</row>
    <row r="10" spans="1:30" x14ac:dyDescent="0.3">
      <c r="A10" s="3">
        <v>8</v>
      </c>
      <c r="B10" s="4" t="s">
        <v>75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</row>
    <row r="11" spans="1:30" x14ac:dyDescent="0.3">
      <c r="A11" s="3">
        <v>9</v>
      </c>
      <c r="B11" s="4" t="s">
        <v>76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</row>
    <row r="12" spans="1:30" x14ac:dyDescent="0.3">
      <c r="A12" s="3">
        <v>10</v>
      </c>
      <c r="B12" s="4" t="s">
        <v>77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</row>
    <row r="13" spans="1:30" x14ac:dyDescent="0.3">
      <c r="A13" s="3">
        <v>11</v>
      </c>
      <c r="B13" s="4" t="s">
        <v>78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</row>
    <row r="14" spans="1:30" x14ac:dyDescent="0.3">
      <c r="A14" s="3">
        <v>12</v>
      </c>
      <c r="B14" s="4" t="s">
        <v>79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</row>
    <row r="15" spans="1:30" x14ac:dyDescent="0.3">
      <c r="A15" s="3">
        <v>13</v>
      </c>
      <c r="B15" s="4" t="s">
        <v>80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</row>
    <row r="16" spans="1:30" x14ac:dyDescent="0.3">
      <c r="A16" s="3">
        <v>14</v>
      </c>
      <c r="B16" s="4" t="s">
        <v>81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</row>
    <row r="17" spans="1:23" x14ac:dyDescent="0.3">
      <c r="A17" s="3">
        <v>15</v>
      </c>
      <c r="B17" s="4" t="s">
        <v>82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</row>
    <row r="18" spans="1:23" x14ac:dyDescent="0.3">
      <c r="A18" s="3">
        <v>16</v>
      </c>
      <c r="B18" s="4" t="s">
        <v>83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</row>
    <row r="19" spans="1:23" x14ac:dyDescent="0.3">
      <c r="A19" s="3">
        <v>17</v>
      </c>
      <c r="B19" s="4" t="s">
        <v>84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</row>
    <row r="20" spans="1:23" x14ac:dyDescent="0.3">
      <c r="A20" s="3">
        <v>18</v>
      </c>
      <c r="B20" s="4" t="s">
        <v>85</v>
      </c>
      <c r="C20" s="9" t="s">
        <v>222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 t="s">
        <v>223</v>
      </c>
      <c r="P20" s="9"/>
      <c r="Q20" s="9"/>
      <c r="R20" s="9"/>
      <c r="S20" s="16" t="s">
        <v>238</v>
      </c>
      <c r="W20" s="16" t="s">
        <v>239</v>
      </c>
    </row>
    <row r="21" spans="1:23" x14ac:dyDescent="0.3">
      <c r="A21" s="3">
        <v>19</v>
      </c>
      <c r="B21" s="4" t="s">
        <v>86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</row>
    <row r="22" spans="1:23" x14ac:dyDescent="0.3">
      <c r="A22" s="3">
        <v>20</v>
      </c>
      <c r="B22" s="4" t="s">
        <v>87</v>
      </c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23" x14ac:dyDescent="0.3">
      <c r="A23" s="3">
        <v>21</v>
      </c>
      <c r="B23" s="4" t="s">
        <v>88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</row>
    <row r="24" spans="1:23" x14ac:dyDescent="0.3">
      <c r="A24" s="3">
        <v>22</v>
      </c>
      <c r="B24" s="4" t="s">
        <v>89</v>
      </c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</row>
    <row r="25" spans="1:23" x14ac:dyDescent="0.3">
      <c r="A25" s="6">
        <v>23</v>
      </c>
      <c r="B25" s="7" t="s">
        <v>90</v>
      </c>
    </row>
  </sheetData>
  <mergeCells count="6">
    <mergeCell ref="O1:AD1"/>
    <mergeCell ref="G1:N1"/>
    <mergeCell ref="A1:A2"/>
    <mergeCell ref="B1:B2"/>
    <mergeCell ref="D1:F1"/>
    <mergeCell ref="C1:C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25"/>
  <sheetViews>
    <sheetView workbookViewId="0">
      <selection activeCell="AC27" sqref="AC27:AR28"/>
    </sheetView>
  </sheetViews>
  <sheetFormatPr defaultRowHeight="12" x14ac:dyDescent="0.3"/>
  <cols>
    <col min="1" max="1" width="4.875" style="10" customWidth="1"/>
    <col min="2" max="2" width="9" style="10"/>
    <col min="3" max="17" width="10.625" style="10" customWidth="1"/>
    <col min="18" max="16384" width="9" style="10"/>
  </cols>
  <sheetData>
    <row r="1" spans="1:24" x14ac:dyDescent="0.3">
      <c r="A1" s="61" t="s">
        <v>30</v>
      </c>
      <c r="B1" s="67" t="s">
        <v>14</v>
      </c>
      <c r="C1" s="69" t="s">
        <v>207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 t="s">
        <v>13</v>
      </c>
      <c r="S1" s="65"/>
      <c r="T1" s="65"/>
      <c r="U1" s="65"/>
      <c r="V1" s="65"/>
      <c r="W1" s="65"/>
      <c r="X1" s="65"/>
    </row>
    <row r="2" spans="1:24" x14ac:dyDescent="0.3">
      <c r="A2" s="66"/>
      <c r="B2" s="68"/>
      <c r="C2" s="12" t="s">
        <v>195</v>
      </c>
      <c r="D2" s="12" t="s">
        <v>196</v>
      </c>
      <c r="E2" s="12" t="s">
        <v>197</v>
      </c>
      <c r="F2" s="12" t="s">
        <v>198</v>
      </c>
      <c r="G2" s="12" t="s">
        <v>199</v>
      </c>
      <c r="H2" s="12" t="s">
        <v>200</v>
      </c>
      <c r="I2" s="12" t="s">
        <v>201</v>
      </c>
      <c r="J2" s="12" t="s">
        <v>202</v>
      </c>
      <c r="K2" s="12" t="s">
        <v>203</v>
      </c>
      <c r="L2" s="12" t="s">
        <v>8</v>
      </c>
      <c r="M2" s="12" t="s">
        <v>204</v>
      </c>
      <c r="N2" s="12" t="s">
        <v>9</v>
      </c>
      <c r="O2" s="12" t="s">
        <v>205</v>
      </c>
      <c r="P2" s="12" t="s">
        <v>10</v>
      </c>
      <c r="Q2" s="12" t="s">
        <v>206</v>
      </c>
      <c r="R2" s="65" t="s">
        <v>208</v>
      </c>
      <c r="S2" s="65"/>
      <c r="T2" s="65" t="s">
        <v>209</v>
      </c>
      <c r="U2" s="65"/>
      <c r="V2" s="65" t="s">
        <v>210</v>
      </c>
      <c r="W2" s="65"/>
      <c r="X2" s="11" t="s">
        <v>211</v>
      </c>
    </row>
    <row r="3" spans="1:24" x14ac:dyDescent="0.3">
      <c r="A3" s="3">
        <v>1</v>
      </c>
      <c r="B3" s="4" t="s">
        <v>68</v>
      </c>
      <c r="X3" s="13"/>
    </row>
    <row r="4" spans="1:24" x14ac:dyDescent="0.3">
      <c r="A4" s="3">
        <v>2</v>
      </c>
      <c r="B4" s="4" t="s">
        <v>69</v>
      </c>
    </row>
    <row r="5" spans="1:24" x14ac:dyDescent="0.3">
      <c r="A5" s="3">
        <v>3</v>
      </c>
      <c r="B5" s="4" t="s">
        <v>70</v>
      </c>
    </row>
    <row r="6" spans="1:24" x14ac:dyDescent="0.3">
      <c r="A6" s="3">
        <v>4</v>
      </c>
      <c r="B6" s="4" t="s">
        <v>71</v>
      </c>
    </row>
    <row r="7" spans="1:24" x14ac:dyDescent="0.3">
      <c r="A7" s="3">
        <v>5</v>
      </c>
      <c r="B7" s="4" t="s">
        <v>72</v>
      </c>
    </row>
    <row r="8" spans="1:24" x14ac:dyDescent="0.3">
      <c r="A8" s="3">
        <v>6</v>
      </c>
      <c r="B8" s="4" t="s">
        <v>73</v>
      </c>
    </row>
    <row r="9" spans="1:24" x14ac:dyDescent="0.3">
      <c r="A9" s="3">
        <v>7</v>
      </c>
      <c r="B9" s="4" t="s">
        <v>74</v>
      </c>
    </row>
    <row r="10" spans="1:24" x14ac:dyDescent="0.3">
      <c r="A10" s="3">
        <v>8</v>
      </c>
      <c r="B10" s="4" t="s">
        <v>75</v>
      </c>
    </row>
    <row r="11" spans="1:24" x14ac:dyDescent="0.3">
      <c r="A11" s="3">
        <v>9</v>
      </c>
      <c r="B11" s="4" t="s">
        <v>76</v>
      </c>
    </row>
    <row r="12" spans="1:24" x14ac:dyDescent="0.3">
      <c r="A12" s="3">
        <v>10</v>
      </c>
      <c r="B12" s="4" t="s">
        <v>77</v>
      </c>
    </row>
    <row r="13" spans="1:24" x14ac:dyDescent="0.3">
      <c r="A13" s="3">
        <v>11</v>
      </c>
      <c r="B13" s="4" t="s">
        <v>78</v>
      </c>
    </row>
    <row r="14" spans="1:24" x14ac:dyDescent="0.3">
      <c r="A14" s="3">
        <v>12</v>
      </c>
      <c r="B14" s="4" t="s">
        <v>79</v>
      </c>
    </row>
    <row r="15" spans="1:24" x14ac:dyDescent="0.3">
      <c r="A15" s="3">
        <v>13</v>
      </c>
      <c r="B15" s="4" t="s">
        <v>80</v>
      </c>
    </row>
    <row r="16" spans="1:24" x14ac:dyDescent="0.3">
      <c r="A16" s="3">
        <v>14</v>
      </c>
      <c r="B16" s="4" t="s">
        <v>81</v>
      </c>
    </row>
    <row r="17" spans="1:24" x14ac:dyDescent="0.3">
      <c r="A17" s="3">
        <v>15</v>
      </c>
      <c r="B17" s="4" t="s">
        <v>82</v>
      </c>
    </row>
    <row r="18" spans="1:24" x14ac:dyDescent="0.3">
      <c r="A18" s="3">
        <v>16</v>
      </c>
      <c r="B18" s="4" t="s">
        <v>83</v>
      </c>
    </row>
    <row r="19" spans="1:24" x14ac:dyDescent="0.3">
      <c r="A19" s="3">
        <v>17</v>
      </c>
      <c r="B19" s="4" t="s">
        <v>84</v>
      </c>
    </row>
    <row r="20" spans="1:24" ht="144" x14ac:dyDescent="0.3">
      <c r="A20" s="3">
        <v>18</v>
      </c>
      <c r="B20" s="4" t="s">
        <v>85</v>
      </c>
      <c r="R20" s="10" t="s">
        <v>240</v>
      </c>
      <c r="S20" s="10" t="s">
        <v>243</v>
      </c>
      <c r="T20" s="10" t="s">
        <v>240</v>
      </c>
      <c r="U20" s="10" t="s">
        <v>244</v>
      </c>
      <c r="V20" s="10" t="s">
        <v>241</v>
      </c>
      <c r="W20" s="10" t="s">
        <v>245</v>
      </c>
      <c r="X20" s="13" t="s">
        <v>242</v>
      </c>
    </row>
    <row r="21" spans="1:24" x14ac:dyDescent="0.3">
      <c r="A21" s="3">
        <v>19</v>
      </c>
      <c r="B21" s="4" t="s">
        <v>86</v>
      </c>
    </row>
    <row r="22" spans="1:24" x14ac:dyDescent="0.3">
      <c r="A22" s="3">
        <v>20</v>
      </c>
      <c r="B22" s="4" t="s">
        <v>87</v>
      </c>
    </row>
    <row r="23" spans="1:24" x14ac:dyDescent="0.3">
      <c r="A23" s="3">
        <v>21</v>
      </c>
      <c r="B23" s="4" t="s">
        <v>88</v>
      </c>
    </row>
    <row r="24" spans="1:24" x14ac:dyDescent="0.3">
      <c r="A24" s="3">
        <v>22</v>
      </c>
      <c r="B24" s="4" t="s">
        <v>89</v>
      </c>
    </row>
    <row r="25" spans="1:24" x14ac:dyDescent="0.3">
      <c r="A25" s="6">
        <v>23</v>
      </c>
      <c r="B25" s="7" t="s">
        <v>90</v>
      </c>
    </row>
  </sheetData>
  <mergeCells count="7">
    <mergeCell ref="V2:W2"/>
    <mergeCell ref="R1:X1"/>
    <mergeCell ref="A1:A2"/>
    <mergeCell ref="B1:B2"/>
    <mergeCell ref="C1:Q1"/>
    <mergeCell ref="R2:S2"/>
    <mergeCell ref="T2:U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5"/>
  <sheetViews>
    <sheetView workbookViewId="0">
      <selection activeCell="AC27" sqref="AC27:AR28"/>
    </sheetView>
  </sheetViews>
  <sheetFormatPr defaultRowHeight="12" x14ac:dyDescent="0.3"/>
  <cols>
    <col min="1" max="1" width="4.125" style="10" customWidth="1"/>
    <col min="2" max="2" width="9" style="10"/>
    <col min="3" max="3" width="5.5" style="10" customWidth="1"/>
    <col min="4" max="4" width="20.75" style="10" customWidth="1"/>
    <col min="5" max="5" width="5.5" style="10" customWidth="1"/>
    <col min="6" max="6" width="20.75" style="10" customWidth="1"/>
    <col min="7" max="7" width="5.5" style="10" customWidth="1"/>
    <col min="8" max="8" width="20.75" style="10" customWidth="1"/>
    <col min="9" max="9" width="5.5" style="10" customWidth="1"/>
    <col min="10" max="10" width="20.75" style="10" customWidth="1"/>
    <col min="11" max="11" width="5.5" style="10" customWidth="1"/>
    <col min="12" max="12" width="20.75" style="10" customWidth="1"/>
    <col min="13" max="13" width="5.5" style="10" customWidth="1"/>
    <col min="14" max="14" width="20.75" style="10" customWidth="1"/>
    <col min="15" max="15" width="5.5" style="10" customWidth="1"/>
    <col min="16" max="16" width="20.75" style="10" customWidth="1"/>
    <col min="17" max="17" width="5.5" style="10" customWidth="1"/>
    <col min="18" max="18" width="20.75" style="10" customWidth="1"/>
    <col min="19" max="16384" width="9" style="10"/>
  </cols>
  <sheetData>
    <row r="1" spans="1:18" x14ac:dyDescent="0.3">
      <c r="A1" s="61" t="s">
        <v>30</v>
      </c>
      <c r="B1" s="67" t="s">
        <v>14</v>
      </c>
      <c r="C1" s="69" t="s">
        <v>214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</row>
    <row r="2" spans="1:18" x14ac:dyDescent="0.3">
      <c r="A2" s="66"/>
      <c r="B2" s="68"/>
      <c r="C2" s="11" t="s">
        <v>212</v>
      </c>
      <c r="D2" s="11" t="s">
        <v>213</v>
      </c>
      <c r="E2" s="11" t="s">
        <v>212</v>
      </c>
      <c r="F2" s="11" t="s">
        <v>213</v>
      </c>
      <c r="G2" s="11" t="s">
        <v>212</v>
      </c>
      <c r="H2" s="11" t="s">
        <v>213</v>
      </c>
      <c r="I2" s="11" t="s">
        <v>212</v>
      </c>
      <c r="J2" s="11" t="s">
        <v>213</v>
      </c>
      <c r="K2" s="11" t="s">
        <v>212</v>
      </c>
      <c r="L2" s="11" t="s">
        <v>213</v>
      </c>
      <c r="M2" s="11" t="s">
        <v>212</v>
      </c>
      <c r="N2" s="11" t="s">
        <v>213</v>
      </c>
      <c r="O2" s="11" t="s">
        <v>212</v>
      </c>
      <c r="P2" s="11" t="s">
        <v>213</v>
      </c>
      <c r="Q2" s="11" t="s">
        <v>212</v>
      </c>
      <c r="R2" s="11" t="s">
        <v>213</v>
      </c>
    </row>
    <row r="3" spans="1:18" x14ac:dyDescent="0.3">
      <c r="A3" s="3">
        <v>1</v>
      </c>
      <c r="B3" s="4" t="s">
        <v>68</v>
      </c>
      <c r="C3" s="14"/>
      <c r="D3" s="13"/>
    </row>
    <row r="4" spans="1:18" x14ac:dyDescent="0.3">
      <c r="A4" s="3">
        <v>2</v>
      </c>
      <c r="B4" s="4" t="s">
        <v>69</v>
      </c>
    </row>
    <row r="5" spans="1:18" x14ac:dyDescent="0.3">
      <c r="A5" s="3">
        <v>3</v>
      </c>
      <c r="B5" s="4" t="s">
        <v>70</v>
      </c>
    </row>
    <row r="6" spans="1:18" x14ac:dyDescent="0.3">
      <c r="A6" s="3">
        <v>4</v>
      </c>
      <c r="B6" s="4" t="s">
        <v>71</v>
      </c>
    </row>
    <row r="7" spans="1:18" x14ac:dyDescent="0.3">
      <c r="A7" s="3">
        <v>5</v>
      </c>
      <c r="B7" s="4" t="s">
        <v>72</v>
      </c>
    </row>
    <row r="8" spans="1:18" x14ac:dyDescent="0.3">
      <c r="A8" s="3">
        <v>6</v>
      </c>
      <c r="B8" s="4" t="s">
        <v>73</v>
      </c>
    </row>
    <row r="9" spans="1:18" x14ac:dyDescent="0.3">
      <c r="A9" s="3">
        <v>7</v>
      </c>
      <c r="B9" s="4" t="s">
        <v>74</v>
      </c>
    </row>
    <row r="10" spans="1:18" x14ac:dyDescent="0.3">
      <c r="A10" s="3">
        <v>8</v>
      </c>
      <c r="B10" s="4" t="s">
        <v>75</v>
      </c>
    </row>
    <row r="11" spans="1:18" x14ac:dyDescent="0.3">
      <c r="A11" s="3">
        <v>9</v>
      </c>
      <c r="B11" s="4" t="s">
        <v>76</v>
      </c>
    </row>
    <row r="12" spans="1:18" x14ac:dyDescent="0.3">
      <c r="A12" s="3">
        <v>10</v>
      </c>
      <c r="B12" s="4" t="s">
        <v>77</v>
      </c>
    </row>
    <row r="13" spans="1:18" x14ac:dyDescent="0.3">
      <c r="A13" s="3">
        <v>11</v>
      </c>
      <c r="B13" s="4" t="s">
        <v>78</v>
      </c>
    </row>
    <row r="14" spans="1:18" x14ac:dyDescent="0.3">
      <c r="A14" s="3">
        <v>12</v>
      </c>
      <c r="B14" s="4" t="s">
        <v>79</v>
      </c>
    </row>
    <row r="15" spans="1:18" x14ac:dyDescent="0.3">
      <c r="A15" s="3">
        <v>13</v>
      </c>
      <c r="B15" s="4" t="s">
        <v>80</v>
      </c>
    </row>
    <row r="16" spans="1:18" x14ac:dyDescent="0.3">
      <c r="A16" s="3">
        <v>14</v>
      </c>
      <c r="B16" s="4" t="s">
        <v>81</v>
      </c>
    </row>
    <row r="17" spans="1:4" x14ac:dyDescent="0.3">
      <c r="A17" s="3">
        <v>15</v>
      </c>
      <c r="B17" s="4" t="s">
        <v>82</v>
      </c>
    </row>
    <row r="18" spans="1:4" x14ac:dyDescent="0.3">
      <c r="A18" s="3">
        <v>16</v>
      </c>
      <c r="B18" s="4" t="s">
        <v>83</v>
      </c>
    </row>
    <row r="19" spans="1:4" x14ac:dyDescent="0.3">
      <c r="A19" s="3">
        <v>17</v>
      </c>
      <c r="B19" s="4" t="s">
        <v>84</v>
      </c>
    </row>
    <row r="20" spans="1:4" ht="180" x14ac:dyDescent="0.3">
      <c r="A20" s="3">
        <v>18</v>
      </c>
      <c r="B20" s="4" t="s">
        <v>85</v>
      </c>
      <c r="C20" s="15" t="s">
        <v>246</v>
      </c>
      <c r="D20" s="13" t="s">
        <v>219</v>
      </c>
    </row>
    <row r="21" spans="1:4" x14ac:dyDescent="0.3">
      <c r="A21" s="3">
        <v>19</v>
      </c>
      <c r="B21" s="4" t="s">
        <v>86</v>
      </c>
    </row>
    <row r="22" spans="1:4" x14ac:dyDescent="0.3">
      <c r="A22" s="3">
        <v>20</v>
      </c>
      <c r="B22" s="4" t="s">
        <v>87</v>
      </c>
    </row>
    <row r="23" spans="1:4" x14ac:dyDescent="0.3">
      <c r="A23" s="3">
        <v>21</v>
      </c>
      <c r="B23" s="4" t="s">
        <v>88</v>
      </c>
    </row>
    <row r="24" spans="1:4" x14ac:dyDescent="0.3">
      <c r="A24" s="3">
        <v>22</v>
      </c>
      <c r="B24" s="4" t="s">
        <v>89</v>
      </c>
    </row>
    <row r="25" spans="1:4" x14ac:dyDescent="0.3">
      <c r="A25" s="6">
        <v>23</v>
      </c>
      <c r="B25" s="7" t="s">
        <v>90</v>
      </c>
    </row>
  </sheetData>
  <mergeCells count="3">
    <mergeCell ref="A1:A2"/>
    <mergeCell ref="B1:B2"/>
    <mergeCell ref="C1:R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VBA</vt:lpstr>
      <vt:lpstr>VSUB</vt:lpstr>
      <vt:lpstr>Sub_1</vt:lpstr>
      <vt:lpstr>Sub_2</vt:lpstr>
      <vt:lpstr>Sub_3</vt:lpstr>
      <vt:lpstr>Sub_4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ict1101-05</cp:lastModifiedBy>
  <cp:lastPrinted>2022-05-26T07:03:16Z</cp:lastPrinted>
  <dcterms:created xsi:type="dcterms:W3CDTF">2019-03-25T10:31:26Z</dcterms:created>
  <dcterms:modified xsi:type="dcterms:W3CDTF">2022-11-02T06:42:55Z</dcterms:modified>
</cp:coreProperties>
</file>